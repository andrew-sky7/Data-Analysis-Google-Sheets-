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" sheetId="1" r:id="rId4"/>
    <sheet state="visible" name="1" sheetId="2" r:id="rId5"/>
    <sheet state="visible" name="Діаграма2" sheetId="3" r:id="rId6"/>
    <sheet state="visible" name="Діаграма1" sheetId="4" r:id="rId7"/>
    <sheet state="visible" name="2" sheetId="5" r:id="rId8"/>
    <sheet state="visible" name="3" sheetId="6" r:id="rId9"/>
    <sheet state="visible" name="Діаграма3" sheetId="7" r:id="rId10"/>
  </sheets>
  <definedNames>
    <definedName name="M2R_f">#REF!</definedName>
    <definedName name="Table42">#REF!</definedName>
    <definedName name="___UKR1">#REF!</definedName>
    <definedName name="E_F">#REF!</definedName>
    <definedName name="CPIFA_f">#REF!</definedName>
    <definedName name="Table39">#REF!</definedName>
    <definedName name="_________UKR3">#REF!</definedName>
    <definedName name="GDPRM">#REF!</definedName>
    <definedName name="USAAY">#REF!</definedName>
    <definedName name="ENTS_f">#REF!</definedName>
    <definedName name="_____Tab1">#REF!</definedName>
    <definedName name="Taballgastables">#REF!</definedName>
    <definedName name="Table33">#REF!</definedName>
    <definedName name="CPIF">#REF!</definedName>
    <definedName name="DEPORM">#REF!</definedName>
    <definedName name="MBRY">#REF!</definedName>
    <definedName name="monprogparameters">#REF!</definedName>
    <definedName name="___________tab07">#REF!</definedName>
    <definedName name="Table336">#REF!</definedName>
    <definedName name="___tab07">#REF!</definedName>
    <definedName name="______tab07">#REF!</definedName>
    <definedName name="TURNR_F">#REF!</definedName>
    <definedName name="BDEFM">#REF!</definedName>
    <definedName name="BDEF_f">#REF!</definedName>
    <definedName name="CREDRM">#REF!</definedName>
    <definedName name="CPISA_f">#REF!</definedName>
    <definedName name="MBR_f">#REF!</definedName>
    <definedName name="CPISY">#REF!</definedName>
    <definedName name="ENTP_P">#REF!</definedName>
    <definedName name="WAGC">#REF!</definedName>
    <definedName name="CPINF_F">#REF!</definedName>
    <definedName name="DD_f">#REF!</definedName>
    <definedName name="ENTLY">#REF!</definedName>
    <definedName name="DEPO">#REF!</definedName>
    <definedName name="M3R_f">#REF!</definedName>
    <definedName name="GDPNC_f">#REF!</definedName>
    <definedName name="TabFcredit2010">#REF!</definedName>
    <definedName name="Table32">#REF!</definedName>
    <definedName name="f">#REF!</definedName>
    <definedName name="TabFcredit2007">#REF!</definedName>
    <definedName name="т17.7">#REF!</definedName>
    <definedName name="GDP_F">#REF!</definedName>
    <definedName name="main_m">#REF!</definedName>
    <definedName name="CPImov_f">#REF!</definedName>
    <definedName name="GOODS_f">#REF!</definedName>
    <definedName name="Table44">#REF!</definedName>
    <definedName name="M3m_f">#REF!</definedName>
    <definedName name="_______Tab1">#REF!</definedName>
    <definedName name="TURNY">#REF!</definedName>
    <definedName name="CPINFMY">#REF!</definedName>
    <definedName name="HERE">#REF!</definedName>
    <definedName name="Table38">#REF!</definedName>
    <definedName name="RevB">#REF!</definedName>
    <definedName name="_UKR2">#REF!</definedName>
    <definedName name="M3YND">#REF!</definedName>
    <definedName name="NAMESA">#REF!</definedName>
    <definedName name="trade_figure">#REF!</definedName>
    <definedName name="DEPOM">#REF!</definedName>
    <definedName name="CREDYN">#REF!</definedName>
    <definedName name="DEPOY">#REF!</definedName>
    <definedName name="DEPORATE">#REF!</definedName>
    <definedName name="DDNY">#REF!</definedName>
    <definedName name="INDY">#REF!</definedName>
    <definedName name="DDNYND">#REF!</definedName>
    <definedName name="________Tab1">#REF!</definedName>
    <definedName name="EXPRM">#REF!</definedName>
    <definedName name="WPIY">#REF!</definedName>
    <definedName name="AGR_F">#REF!</definedName>
    <definedName name="TabMTBOP2006">#REF!</definedName>
    <definedName name="CPIY">#REF!</definedName>
    <definedName name="zGDPgrowth">#REF!</definedName>
    <definedName name="________tab06">#REF!</definedName>
    <definedName name="ENTPMN">#REF!</definedName>
    <definedName name="Table31">#REF!</definedName>
    <definedName name="WPICA">#REF!</definedName>
    <definedName name="TabGas_arrears_to_Russia">#REF!</definedName>
    <definedName name="GDPRMOC_f">#REF!</definedName>
    <definedName name="___________tab06">#REF!</definedName>
    <definedName name="CREDYND">#REF!</definedName>
    <definedName name="___________UKR2">#REF!</definedName>
    <definedName name="______UKR3">#REF!</definedName>
    <definedName name="GNCR">#REF!</definedName>
    <definedName name="CREDRY">#REF!</definedName>
    <definedName name="MNTZ_f">#REF!</definedName>
    <definedName name="DWAGEYA">#REF!</definedName>
    <definedName name="Tab6.5">#REF!</definedName>
    <definedName name="Table23">#REF!</definedName>
    <definedName name="Table28">#REF!</definedName>
    <definedName name="DATESA">#REF!</definedName>
    <definedName name="GDPY">#REF!</definedName>
    <definedName name="Trade_balance">#REF!</definedName>
    <definedName name="VM3P">#REF!</definedName>
    <definedName name="WAGERM">#REF!</definedName>
    <definedName name="Moldova__Balance_of_Payments__1994_98">#REF!</definedName>
    <definedName name="Table_2____Moldova___General_Government_Budget_1995_98__Mdl_millions__1">#REF!</definedName>
    <definedName name="PEND">#REF!</definedName>
    <definedName name="__tab06">#REF!</definedName>
    <definedName name="BGSMG">#REF!</definedName>
    <definedName name="In_millions_of_U.S._dollars">#REF!</definedName>
    <definedName name="zXGNFS">#REF!</definedName>
    <definedName name="PAYMENT_f">#REF!</definedName>
    <definedName name="RevA">#REF!</definedName>
    <definedName name="__________tab06">#REF!</definedName>
    <definedName name="Balance_of_payments">#REF!</definedName>
    <definedName name="Number">#REF!</definedName>
    <definedName name="VM3M">#REF!</definedName>
    <definedName name="USAYA">#REF!</definedName>
    <definedName name="zImports">#REF!</definedName>
    <definedName name="CPIFMYA">#REF!</definedName>
    <definedName name="BGSYG">#REF!</definedName>
    <definedName name="USAE">#REF!</definedName>
    <definedName name="In_millions_of_lei">#REF!</definedName>
    <definedName name="EXP">#REF!</definedName>
    <definedName name="_____UKR1">#REF!</definedName>
    <definedName name="Central">#REF!</definedName>
    <definedName name="CPINFCA">#REF!</definedName>
    <definedName name="EXPRCY">#REF!</definedName>
    <definedName name="MBM">#REF!</definedName>
    <definedName name="Table25">#REF!</definedName>
    <definedName name="TURNR">#REF!</definedName>
    <definedName name="____UKR3">#REF!</definedName>
    <definedName name="TURNMY">#REF!</definedName>
    <definedName name="IGSY">#REF!</definedName>
    <definedName name="_____UKR2">#REF!</definedName>
    <definedName name="AGRR_F">#REF!</definedName>
    <definedName name="M0Y">#REF!</definedName>
    <definedName name="RTab4.3">#REF!</definedName>
    <definedName name="IND_F">#REF!</definedName>
    <definedName name="т06">#REF!</definedName>
    <definedName name="WPIMY">#REF!</definedName>
    <definedName name="______tab06">#REF!</definedName>
    <definedName name="_Tab1">#REF!</definedName>
    <definedName name="AGRRMY">#REF!</definedName>
    <definedName name="Exp_GDP">#REF!</definedName>
    <definedName name="BGSM">#REF!</definedName>
    <definedName name="_Fill">#REF!</definedName>
    <definedName name="DEPORATE_F">#REF!</definedName>
    <definedName name="Table16_2000">#REF!</definedName>
    <definedName name="_M3">#REF!</definedName>
    <definedName name="NAMESM">#REF!</definedName>
    <definedName name="Table17">#REF!</definedName>
    <definedName name="INDMY">#REF!</definedName>
    <definedName name="INCC">#REF!</definedName>
    <definedName name="ME">#REF!</definedName>
    <definedName name="CPIFCA">#REF!</definedName>
    <definedName name="DUSAYA">#REF!</definedName>
    <definedName name="M0RY">#REF!</definedName>
    <definedName name="M0YN">#REF!</definedName>
    <definedName name="___UKR2">#REF!</definedName>
    <definedName name="GDPgrowth">#REF!</definedName>
    <definedName name="CPINFY">#REF!</definedName>
    <definedName name="INCM">#REF!</definedName>
    <definedName name="TaxArrears">#REF!</definedName>
    <definedName name="table130">#REF!</definedName>
    <definedName name="BRO">#REF!</definedName>
    <definedName name="DDN">#REF!</definedName>
    <definedName name="RTab1.4">#REF!</definedName>
    <definedName name="___________UKR1">#REF!</definedName>
    <definedName name="BEXPMG">#REF!</definedName>
    <definedName name="___________UKR3">#REF!</definedName>
    <definedName name="RTab4.4a">#REF!</definedName>
    <definedName name="т17.4.2001">#REF!</definedName>
    <definedName name="TB_f">#REF!</definedName>
    <definedName name="CREDRTYA">#REF!</definedName>
    <definedName name="WAGES_P">#REF!</definedName>
    <definedName name="CPIAVG_P">#REF!</definedName>
    <definedName name="_cpi2">#REF!</definedName>
    <definedName name="Table34">#REF!</definedName>
    <definedName name="RTab1.2a">#REF!</definedName>
    <definedName name="AGRM">#REF!</definedName>
    <definedName name="item">#REF!</definedName>
    <definedName name="MONETP">#REF!</definedName>
    <definedName name="WAGES_F">#REF!</definedName>
    <definedName name="GNCRM">#REF!</definedName>
    <definedName name="CREDY">#REF!</definedName>
    <definedName name="_UKR3">#REF!</definedName>
    <definedName name="RTab6.1">#REF!</definedName>
    <definedName name="zLiborUS">#REF!</definedName>
    <definedName name="т17.5.2001">#REF!</definedName>
    <definedName name="CPISmov_f">#REF!</definedName>
    <definedName name="ENTL_P">#REF!</definedName>
    <definedName name="GNC_F">#REF!</definedName>
    <definedName name="MHYN">#REF!</definedName>
    <definedName name="g">#REF!</definedName>
    <definedName name="CPI_F">#REF!</definedName>
    <definedName name="BEXPgdp_f">#REF!</definedName>
    <definedName name="zIGNFS">#REF!</definedName>
    <definedName name="DEPORTYA">#REF!</definedName>
    <definedName name="Foreign_liabilities">#REF!</definedName>
    <definedName name="CPIFmov_f">#REF!</definedName>
    <definedName name="TDNFYN">#REF!</definedName>
    <definedName name="WAGER_f">#REF!</definedName>
    <definedName name="__________tab07">#REF!</definedName>
    <definedName name="INDM">#REF!</definedName>
    <definedName name="RTab6.3">#REF!</definedName>
    <definedName name="GDPM_f">#REF!</definedName>
    <definedName name="CONS_f">#REF!</definedName>
    <definedName name="Table40">#REF!</definedName>
    <definedName name="GDPMY">#REF!</definedName>
    <definedName name="liquidity_reserve">#REF!</definedName>
    <definedName name="INDRM">#REF!</definedName>
    <definedName name="збз1998">#REF!</definedName>
    <definedName name="WPI">#REF!</definedName>
    <definedName name="W_P">#REF!</definedName>
    <definedName name="т17.4.1999">#REF!</definedName>
    <definedName name="MONET">#REF!</definedName>
    <definedName name="MEM">#REF!</definedName>
    <definedName name="_________UKR2">#REF!</definedName>
    <definedName name="EGSG">#REF!</definedName>
    <definedName name="BEXP_F">#REF!</definedName>
    <definedName name="CPINF">#REF!</definedName>
    <definedName name="_______tab06">#REF!</definedName>
    <definedName name="Current_account">#REF!</definedName>
    <definedName name="TURNRM">#REF!</definedName>
    <definedName name="INCC_f">#REF!</definedName>
    <definedName name="CPIF_F">#REF!</definedName>
    <definedName name="M3M">#REF!</definedName>
    <definedName name="IGSG">#REF!</definedName>
    <definedName name="WPImov_f">#REF!</definedName>
    <definedName name="TabsimplifiedBOP">#REF!</definedName>
    <definedName name="MEYN">#REF!</definedName>
    <definedName name="MONETMC">#REF!</definedName>
    <definedName name="Non_BRO">#REF!</definedName>
    <definedName name="ENTSM">#REF!</definedName>
    <definedName name="INCRCY">#REF!</definedName>
    <definedName name="TURN_F">#REF!</definedName>
    <definedName name="RTab1.1">#REF!</definedName>
    <definedName name="Table41">#REF!</definedName>
    <definedName name="Local">#REF!</definedName>
    <definedName name="IGSM">#REF!</definedName>
    <definedName name="Table">#REF!</definedName>
    <definedName name="AGRR_P">#REF!</definedName>
    <definedName name="____UKR2">#REF!</definedName>
    <definedName name="moneyprogram">#REF!</definedName>
    <definedName name="MERM">#REF!</definedName>
    <definedName name="EXREND_P">#REF!</definedName>
    <definedName name="budget_financing">#REF!</definedName>
    <definedName name="Table27">#REF!</definedName>
    <definedName name="_UKR1">#REF!</definedName>
    <definedName name="BEXPG">#REF!</definedName>
    <definedName name="RTab6.9">#REF!</definedName>
    <definedName name="WAGESP_f">#REF!</definedName>
    <definedName name="Month_">#REF!</definedName>
    <definedName name="SERVICES_f">#REF!</definedName>
    <definedName name="GNCM">#REF!</definedName>
    <definedName name="PRIV_P">#REF!</definedName>
    <definedName name="SOC">#REF!</definedName>
    <definedName name="DEPORY">#REF!</definedName>
    <definedName name="CurrentM">#REF!</definedName>
    <definedName name="__________Tab1">#REF!</definedName>
    <definedName name="GDPRMG_f">#REF!</definedName>
    <definedName name="Table129">#REF!</definedName>
    <definedName name="RTab4.1">#REF!</definedName>
    <definedName name="INCBAL_f">#REF!</definedName>
    <definedName name="INC_F">#REF!</definedName>
    <definedName name="Notes">#REF!</definedName>
    <definedName name="CPIS_F">#REF!</definedName>
    <definedName name="GDPM">#REF!</definedName>
    <definedName name="DVM0M">#REF!</definedName>
    <definedName name="SOCRM">#REF!</definedName>
    <definedName name="INCO_f">#REF!</definedName>
    <definedName name="SOCRCY">#REF!</definedName>
    <definedName name="EGSMG">#REF!</definedName>
    <definedName name="_______tab07">#REF!</definedName>
    <definedName name="WPIAVG_F">#REF!</definedName>
    <definedName name="NFA_assumptions">#REF!</definedName>
    <definedName name="________tab07">#REF!</definedName>
    <definedName name="monsurvey">#REF!</definedName>
    <definedName name="_________tab06">#REF!</definedName>
    <definedName name="TURNM">#REF!</definedName>
    <definedName name="Table30">#REF!</definedName>
    <definedName name="SPD_f">#REF!</definedName>
    <definedName name="IGSYG">#REF!</definedName>
    <definedName name="Table19">#REF!</definedName>
    <definedName name="DEPOYND">#REF!</definedName>
    <definedName name="PRIVMG">#REF!</definedName>
    <definedName name="Table37">#REF!</definedName>
    <definedName name="TabAmort2004">#REF!</definedName>
    <definedName name="TabAssumptionsImports">#REF!</definedName>
    <definedName name="________UKR1">#REF!</definedName>
    <definedName name="TD_f">#REF!</definedName>
    <definedName name="RTab4.1a">#REF!</definedName>
    <definedName name="TabNonfactorServices_and_Income">#REF!</definedName>
    <definedName name="GDPR_P">#REF!</definedName>
    <definedName name="WPI_F">#REF!</definedName>
    <definedName name="zRoWCPIchange">#REF!</definedName>
    <definedName name="All_Data">#REF!</definedName>
    <definedName name="INDR_P">#REF!</definedName>
    <definedName name="TabExports">#REF!</definedName>
    <definedName name="RTab4.2">#REF!</definedName>
    <definedName name="DVM3M">#REF!</definedName>
    <definedName name="Tabdebt_historic">#REF!</definedName>
    <definedName name="CREDM">#REF!</definedName>
    <definedName name="a">#REF!</definedName>
    <definedName name="__tab07">#REF!</definedName>
    <definedName name="CPINFAVG_F">#REF!</definedName>
    <definedName name="TDNF">#REF!</definedName>
    <definedName name="PENSION_f">#REF!</definedName>
    <definedName name="___tab06">#REF!</definedName>
    <definedName name="WAGE_P">#REF!</definedName>
    <definedName name="WPI_P">#REF!</definedName>
    <definedName name="GDPDme">#REF!</definedName>
    <definedName name="______UKR1">#REF!</definedName>
    <definedName name="WPIAVG_P">#REF!</definedName>
    <definedName name="т17.4">#REF!</definedName>
    <definedName name="Monetary_Program_Parameters">#REF!</definedName>
    <definedName name="Tab1.1a">#REF!</definedName>
    <definedName name="M0_F">#REF!</definedName>
    <definedName name="DEFL">#REF!</definedName>
    <definedName name="TURN">#REF!</definedName>
    <definedName name="GDPR_F">#REF!</definedName>
    <definedName name="DEPOYN">#REF!</definedName>
    <definedName name="BDEFgdp_f">#REF!</definedName>
    <definedName name="___Tab1">#REF!</definedName>
    <definedName name="Gross_reserves">#REF!</definedName>
    <definedName name="_________tab07">#REF!</definedName>
    <definedName name="____Tab1">#REF!</definedName>
    <definedName name="M3RY">#REF!</definedName>
    <definedName name="UNEMP_P">#REF!</definedName>
    <definedName name="RTab2.1a">#REF!</definedName>
    <definedName name="MONETM">#REF!</definedName>
    <definedName name="CPISAVG_F">#REF!</definedName>
    <definedName name="RTab6.7">#REF!</definedName>
    <definedName name="Nomer">#REF!</definedName>
    <definedName name="WAGEM">#REF!</definedName>
    <definedName name="BREVM">#REF!</definedName>
    <definedName name="PRIVG">#REF!</definedName>
    <definedName name="DDNYN">#REF!</definedName>
    <definedName name="__________UKR1">#REF!</definedName>
    <definedName name="E_P">#REF!</definedName>
    <definedName name="EdssBatchRange">#REF!</definedName>
    <definedName name="DDNM">#REF!</definedName>
    <definedName name="INCCP">#REF!</definedName>
    <definedName name="MBRM">#REF!</definedName>
    <definedName name="WR_P">#REF!</definedName>
    <definedName name="WAGRCY">#REF!</definedName>
    <definedName name="MHY">#REF!</definedName>
    <definedName name="_________UKR1">#REF!</definedName>
    <definedName name="MBYND">#REF!</definedName>
    <definedName name="DVM3P">#REF!</definedName>
    <definedName name="KEND">#REF!</definedName>
    <definedName name="CPIFY">#REF!</definedName>
    <definedName name="CPISMY">#REF!</definedName>
    <definedName name="ENTSMN">#REF!</definedName>
    <definedName name="GDPRG_f">#REF!</definedName>
    <definedName name="REAL">#REF!</definedName>
    <definedName name="MERY">#REF!</definedName>
    <definedName name="MB">#REF!</definedName>
    <definedName name="MEYND">#REF!</definedName>
    <definedName name="Tab1.1">#REF!</definedName>
    <definedName name="RTab6.2">#REF!</definedName>
    <definedName name="SOCCP">#REF!</definedName>
    <definedName name="jmki">#REF!</definedName>
    <definedName name="Medium_term_BOP_scenario">#REF!</definedName>
    <definedName name="M3Y">#REF!</definedName>
    <definedName name="BGSG">#REF!</definedName>
    <definedName name="__________UKR2">#REF!</definedName>
    <definedName name="_______UKR2">#REF!</definedName>
    <definedName name="Table_4.__Moldova____Monetary_Survey_and_Projections__1994_98_1">#REF!</definedName>
    <definedName name="TDNFRY">#REF!</definedName>
    <definedName name="BGSY">#REF!</definedName>
    <definedName name="_______UKR3">#REF!</definedName>
    <definedName name="PRIVM">#REF!</definedName>
    <definedName name="SOCM">#REF!</definedName>
    <definedName name="USAEY">#REF!</definedName>
    <definedName name="___________Tab1">#REF!</definedName>
    <definedName name="CPINFmov_f">#REF!</definedName>
    <definedName name="RTab5.1">#REF!</definedName>
    <definedName name="WPIMYA">#REF!</definedName>
    <definedName name="M2m_f">#REF!</definedName>
    <definedName name="Table35">#REF!</definedName>
    <definedName name="CREDRATE">#REF!</definedName>
    <definedName name="S_CONS_f">#REF!</definedName>
    <definedName name="BDEFG">#REF!</definedName>
    <definedName name="macro">#REF!</definedName>
    <definedName name="RTab1.2">#REF!</definedName>
    <definedName name="BREVMG">#REF!</definedName>
    <definedName name="GDPRM_f">#REF!</definedName>
    <definedName name="__UKR2">#REF!</definedName>
    <definedName name="WAGEYA">#REF!</definedName>
    <definedName name="USAA">#REF!</definedName>
    <definedName name="MH_F">#REF!</definedName>
    <definedName name="M0M">#REF!</definedName>
    <definedName name="ENTP_F">#REF!</definedName>
    <definedName name="______UKR2">#REF!</definedName>
    <definedName name="CPICA">#REF!</definedName>
    <definedName name="EGSM">#REF!</definedName>
    <definedName name="_____tab06">#REF!</definedName>
    <definedName name="WAGESR_f">#REF!</definedName>
    <definedName name="Table22">#REF!</definedName>
    <definedName name="TDNFY">#REF!</definedName>
    <definedName name="____tab06">#REF!</definedName>
    <definedName name="TB">#REF!</definedName>
    <definedName name="WAGCP">#REF!</definedName>
    <definedName name="Table36">#REF!</definedName>
    <definedName name="RTab3.3">#REF!</definedName>
    <definedName name="Table20">#REF!</definedName>
    <definedName name="SOCIAL_f">#REF!</definedName>
    <definedName name="PRIV_F">#REF!</definedName>
    <definedName name="IGS_P">#REF!</definedName>
    <definedName name="DDNRY">#REF!</definedName>
    <definedName name="IGSMG">#REF!</definedName>
    <definedName name="____tab07">#REF!</definedName>
    <definedName name="_____tab07">#REF!</definedName>
    <definedName name="т17.2">#REF!</definedName>
    <definedName name="Область_печати_ИМ">#REF!</definedName>
    <definedName name="MBYN">#REF!</definedName>
    <definedName name="__UKR1">#REF!</definedName>
    <definedName name="GNC">#REF!</definedName>
    <definedName name="TabOutMon">#REF!</definedName>
    <definedName name="CPI_P">#REF!</definedName>
    <definedName name="DDNRM">#REF!</definedName>
    <definedName name="defl2">#REF!</definedName>
    <definedName name="WAGM">#REF!</definedName>
    <definedName name="________UKR2">#REF!</definedName>
    <definedName name="TDNFRM">#REF!</definedName>
    <definedName name="__________UKR3">#REF!</definedName>
    <definedName name="M0RM">#REF!</definedName>
    <definedName name="INCCURR_f">#REF!</definedName>
    <definedName name="M0YND">#REF!</definedName>
    <definedName name="CPINFA_f">#REF!</definedName>
    <definedName name="CRED_F">#REF!</definedName>
    <definedName name="RTab5.2">#REF!</definedName>
    <definedName name="INDR_F">#REF!</definedName>
    <definedName name="RTab6.10B">#REF!</definedName>
    <definedName name="CPIFMY">#REF!</definedName>
    <definedName name="USAAM">#REF!</definedName>
    <definedName name="DATESQ">#REF!</definedName>
    <definedName name="CREDRATE_F">#REF!</definedName>
    <definedName name="USAEM">#REF!</definedName>
    <definedName name="WAGESW_f">#REF!</definedName>
    <definedName name="budfin">#REF!</definedName>
    <definedName name="GDPRNC_f">#REF!</definedName>
    <definedName name="WAGESK_f">#REF!</definedName>
    <definedName name="т01">#REF!</definedName>
    <definedName name="M0R_f">#REF!</definedName>
    <definedName name="ENTPY">#REF!</definedName>
    <definedName name="EXPCP">#REF!</definedName>
    <definedName name="M1_F">#REF!</definedName>
    <definedName name="SUMMARY1">#REF!</definedName>
    <definedName name="RTab1.1a">#REF!</definedName>
    <definedName name="joe">#REF!</definedName>
    <definedName name="S_SAVE_f">#REF!</definedName>
    <definedName name="KMENU">#REF!</definedName>
    <definedName name="RTab6.6">#REF!</definedName>
    <definedName name="CURR_f">#REF!</definedName>
    <definedName name="нy69">#REF!</definedName>
    <definedName name="Table_6.__Moldova__Balance_of_Payments__1994_98">#REF!</definedName>
    <definedName name="BEXP_P">#REF!</definedName>
    <definedName name="_______UKR1">#REF!</definedName>
    <definedName name="TDNFYND">#REF!</definedName>
    <definedName name="EXRAVR_P">#REF!</definedName>
    <definedName name="MHRY">#REF!</definedName>
    <definedName name="AGRY">#REF!</definedName>
    <definedName name="ME_F">#REF!</definedName>
    <definedName name="EXPC">#REF!</definedName>
    <definedName name="TabMTbop2010">#REF!</definedName>
    <definedName name="Budget">#REF!</definedName>
    <definedName name="RTab5.1a">#REF!</definedName>
    <definedName name="т17.5">#REF!</definedName>
    <definedName name="RTab6.10P">#REF!</definedName>
    <definedName name="EXPM">#REF!</definedName>
    <definedName name="AGRMY">#REF!</definedName>
    <definedName name="DVM3MC">#REF!</definedName>
    <definedName name="DEPO_F">#REF!</definedName>
    <definedName name="NAMES">#REF!</definedName>
    <definedName name="EXPENDO_f">#REF!</definedName>
    <definedName name="DATESM">#REF!</definedName>
    <definedName name="______Tab1">#REF!</definedName>
    <definedName name="WAGRM">#REF!</definedName>
    <definedName name="RTab6.8">#REF!</definedName>
    <definedName name="_VM3">#REF!</definedName>
    <definedName name="CPIADDR">#REF!</definedName>
    <definedName name="SUMMARY2">#REF!</definedName>
    <definedName name="Table330">#REF!</definedName>
    <definedName name="____UKR1">#REF!</definedName>
    <definedName name="MHM">#REF!</definedName>
    <definedName name="RTab4.4">#REF!</definedName>
    <definedName name="CPIS">#REF!</definedName>
    <definedName name="BREVG">#REF!</definedName>
    <definedName name="cpimya">#REF!</definedName>
    <definedName name="M1m_f">#REF!</definedName>
    <definedName name="BREVgdp_f">#REF!</definedName>
    <definedName name="EXPEND_f">#REF!</definedName>
    <definedName name="D_SHARES_f">#REF!</definedName>
    <definedName name="RTab4.2a">#REF!</definedName>
    <definedName name="CPIFAVG_F">#REF!</definedName>
    <definedName name="BREV_F">#REF!</definedName>
    <definedName name="нука69">#REF!</definedName>
    <definedName name="CPI">#REF!</definedName>
    <definedName name="RTab2.1">#REF!</definedName>
    <definedName name="M2_F">#REF!</definedName>
    <definedName name="Tabdebtflow">#REF!</definedName>
    <definedName name="RTab4.3a">#REF!</definedName>
    <definedName name="UNEMP_F">#REF!</definedName>
    <definedName name="AGR_P">#REF!</definedName>
    <definedName name="CPIAVG_F">#REF!</definedName>
    <definedName name="GRANT_f">#REF!</definedName>
    <definedName name="M3RM">#REF!</definedName>
    <definedName name="REZREQ_f">#REF!</definedName>
    <definedName name="VM0MC">#REF!</definedName>
    <definedName name="PMENU">#REF!</definedName>
    <definedName name="mt_moneyprog">#REF!</definedName>
    <definedName name="_wpi2">#REF!</definedName>
    <definedName name="Table43">#REF!</definedName>
    <definedName name="_tab07">#REF!</definedName>
    <definedName name="EGSY">#REF!</definedName>
    <definedName name="PRINT_AREA_MI">#REF!</definedName>
    <definedName name="ENTLMN">#REF!</definedName>
    <definedName name="CPIMY">#REF!</definedName>
    <definedName name="RTab2.3">#REF!</definedName>
    <definedName name="W_F">#REF!</definedName>
    <definedName name="CPISMYA">#REF!</definedName>
    <definedName name="MHYND">#REF!</definedName>
    <definedName name="TabCapAccount">#REF!</definedName>
    <definedName name="M3_P">#REF!</definedName>
    <definedName name="__Tab1">#REF!</definedName>
    <definedName name="VM3MC">#REF!</definedName>
    <definedName name="___UKR3">#REF!</definedName>
    <definedName name="M1R_f">#REF!</definedName>
    <definedName name="INC">#REF!</definedName>
    <definedName name="TAX_f">#REF!</definedName>
    <definedName name="_________Tab1">#REF!</definedName>
    <definedName name="WAGERY">#REF!</definedName>
    <definedName name="CPISCA">#REF!</definedName>
    <definedName name="GDPMNC_f">#REF!</definedName>
    <definedName name="CRED">#REF!</definedName>
    <definedName name="Table29">#REF!</definedName>
    <definedName name="WAGE_f">#REF!</definedName>
    <definedName name="SOCC">#REF!</definedName>
    <definedName name="GNCRMY">#REF!</definedName>
    <definedName name="CPI_I">#REF!</definedName>
    <definedName name="DVM0MC">#REF!</definedName>
    <definedName name="WPIA_f">#REF!</definedName>
    <definedName name="Table24">#REF!</definedName>
    <definedName name="BDEFMG">#REF!</definedName>
    <definedName name="MACROS">#REF!</definedName>
    <definedName name="bull">#REF!</definedName>
    <definedName name="__UKR3">#REF!</definedName>
    <definedName name="M3YN">#REF!</definedName>
    <definedName name="MB_P">#REF!</definedName>
    <definedName name="_tab06">#REF!</definedName>
    <definedName name="INDRMY">#REF!</definedName>
    <definedName name="VM0M">#REF!</definedName>
    <definedName name="GNCMY">#REF!</definedName>
    <definedName name="EGS_P">#REF!</definedName>
    <definedName name="Exp_nom">#REF!</definedName>
    <definedName name="NAMESQ">#REF!</definedName>
    <definedName name="RTab6.4">#REF!</definedName>
    <definedName name="MBY">#REF!</definedName>
    <definedName name="CPINFMYA">#REF!</definedName>
    <definedName name="RTab2.2">#REF!</definedName>
    <definedName name="GDP_P">#REF!</definedName>
    <definedName name="TabMTdebt">#REF!</definedName>
    <definedName name="S_MONEY_f">#REF!</definedName>
    <definedName name="TabImports">#REF!</definedName>
    <definedName name="GNCY">#REF!</definedName>
    <definedName name="date">#REF!</definedName>
    <definedName name="BudArrears">#REF!</definedName>
    <definedName name="MEY">#REF!</definedName>
    <definedName name="Table26">#REF!</definedName>
    <definedName name="INCRM">#REF!</definedName>
    <definedName name="Table_3._Moldova__Balance_of_Payments__1994_98">#REF!</definedName>
    <definedName name="TabImportdetail">#REF!</definedName>
    <definedName name="MHRM">#REF!</definedName>
    <definedName name="DATES">#REF!</definedName>
    <definedName name="BREV_P">#REF!</definedName>
    <definedName name="CPIA_f">#REF!</definedName>
    <definedName name="________UKR3">#REF!</definedName>
    <definedName name="lang">#REF!</definedName>
    <definedName name="REF_f">#REF!</definedName>
    <definedName name="GNCR_F">#REF!</definedName>
    <definedName name="ENTL_F">#REF!</definedName>
    <definedName name="MH">#REF!</definedName>
    <definedName name="EGSYG">#REF!</definedName>
    <definedName name="WAG">#REF!</definedName>
    <definedName name="RTab6.5">#REF!</definedName>
    <definedName name="BEXPM">#REF!</definedName>
    <definedName name="_____UKR3">#REF!</definedName>
    <definedName name="IND_P">#REF!</definedName>
    <definedName name="_DVM3">#REF!</definedName>
    <definedName name="S_CURR_f">#REF!</definedName>
    <definedName name="TDNFM">#REF!</definedName>
  </definedNames>
  <calcPr/>
</workbook>
</file>

<file path=xl/sharedStrings.xml><?xml version="1.0" encoding="utf-8"?>
<sst xmlns="http://schemas.openxmlformats.org/spreadsheetml/2006/main" count="12" uniqueCount="10">
  <si>
    <t>УКР</t>
  </si>
  <si>
    <t>ENG</t>
  </si>
  <si>
    <t>'1'!A1</t>
  </si>
  <si>
    <t>грудень до грудня, %</t>
  </si>
  <si>
    <t>'2'!A1</t>
  </si>
  <si>
    <t>рік до попереднього року, %</t>
  </si>
  <si>
    <t>'3'!A1</t>
  </si>
  <si>
    <t>вагова структура</t>
  </si>
  <si>
    <t>до змісту</t>
  </si>
  <si>
    <t>Починаючи з 2016 року здійснено перехід на вагову структуру, яка базується на даних національних рахунків щодо витрат домогосподарств на кінцеве споживання на рівні агрегатів – розділів, груп і класів за Класифікацією індивідуального споживання за цілями (КІСЦ). Для подальшого розподілу використовується деталізована інформація щодо споживчих грошових витрат домогосподарств за результатами обстежень умов життя домогосподарств.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</si>
</sst>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General_)"/>
    <numFmt numFmtId="165" formatCode="0.0"/>
    <numFmt numFmtId="166" formatCode="yyyy"/>
    <numFmt numFmtId="167" formatCode="0.00000"/>
  </numFmts>
  <fonts count="46">
    <font>
      <sz val="10.0"/>
      <color rgb="FF000000"/>
      <name val="Calibri"/>
      <scheme val="minor"/>
    </font>
    <font>
      <sz val="10.0"/>
      <color theme="1"/>
      <name val="Arimo"/>
    </font>
    <font>
      <sz val="10.0"/>
      <color theme="0"/>
      <name val="Arimo"/>
    </font>
    <font>
      <sz val="20.0"/>
      <color theme="1"/>
      <name val="Times New Roman"/>
    </font>
    <font>
      <sz val="28.0"/>
      <color theme="1"/>
      <name val="Times New Roman"/>
    </font>
    <font>
      <b/>
      <sz val="24.0"/>
      <color theme="1"/>
      <name val="Times New Roman"/>
    </font>
    <font>
      <b/>
      <sz val="26.0"/>
      <color rgb="FF0070C0"/>
      <name val="Times New Roman"/>
    </font>
    <font>
      <b/>
      <sz val="12.0"/>
      <color rgb="FFFFFFFF"/>
      <name val="Times New Roman"/>
    </font>
    <font/>
    <font>
      <sz val="12.0"/>
      <color rgb="FFFFFFFF"/>
      <name val="Times New Roman"/>
    </font>
    <font>
      <b/>
      <sz val="12.0"/>
      <color rgb="FF000000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i/>
      <sz val="12.0"/>
      <color rgb="FF000000"/>
      <name val="Times New Roman"/>
    </font>
    <font>
      <b/>
      <sz val="14.0"/>
      <color rgb="FF0070C0"/>
      <name val="Times New Roman"/>
    </font>
    <font>
      <u/>
      <sz val="12.0"/>
      <color theme="10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sz val="12.0"/>
      <color rgb="FF000000"/>
      <name val="Times New Roman"/>
    </font>
    <font>
      <i/>
      <sz val="12.0"/>
      <color theme="1"/>
      <name val="Times New Roman"/>
    </font>
    <font>
      <sz val="11.0"/>
      <color theme="1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2.0"/>
      <color theme="10"/>
      <name val="Times New Roman"/>
    </font>
    <font>
      <u/>
      <sz val="12.0"/>
      <color rgb="FF0000FF"/>
      <name val="Times New Roman"/>
    </font>
    <font>
      <sz val="10.0"/>
      <color rgb="FFFF0000"/>
      <name val="Arimo"/>
    </font>
    <font>
      <i/>
      <sz val="12.0"/>
      <color rgb="FFFF0000"/>
      <name val="Times New Roman"/>
    </font>
    <font>
      <u/>
      <sz val="12.0"/>
      <color theme="10"/>
      <name val="Times New Roman"/>
    </font>
    <font>
      <u/>
      <sz val="12.0"/>
      <color rgb="FF0000FF"/>
      <name val="Times New Roman"/>
    </font>
    <font>
      <u/>
      <sz val="11.0"/>
      <color theme="1"/>
      <name val="Times New Roman"/>
    </font>
    <font>
      <b/>
      <i/>
      <sz val="12.0"/>
      <color rgb="FFFF0000"/>
      <name val="Times New Roman"/>
    </font>
    <font>
      <b/>
      <i/>
      <sz val="12.0"/>
      <color theme="1"/>
      <name val="Times New Roman"/>
    </font>
    <font>
      <i/>
      <sz val="11.0"/>
      <color rgb="FF000000"/>
      <name val="Times New Roman"/>
    </font>
    <font>
      <sz val="8.0"/>
      <color rgb="FF969696"/>
      <name val="Arimo"/>
    </font>
    <font>
      <b/>
      <sz val="8.0"/>
      <color rgb="FF969696"/>
      <name val="Arimo"/>
    </font>
    <font>
      <i/>
      <sz val="10.0"/>
      <color theme="1"/>
      <name val="Times New Roman"/>
    </font>
    <font>
      <b/>
      <i/>
      <u/>
      <sz val="11.0"/>
      <color rgb="FFFF0000"/>
      <name val="Times New Roman"/>
    </font>
    <font>
      <b/>
      <i/>
      <u/>
      <sz val="10.0"/>
      <color rgb="FFFF0000"/>
      <name val="Arial"/>
    </font>
    <font>
      <b/>
      <sz val="11.0"/>
      <color theme="1"/>
      <name val="Times New Roman"/>
    </font>
    <font>
      <b/>
      <sz val="16.0"/>
      <color theme="1"/>
      <name val="Times New Roman"/>
    </font>
    <font>
      <sz val="11.0"/>
      <color rgb="FF000000"/>
      <name val="Times New Roman"/>
    </font>
    <font>
      <sz val="10.0"/>
      <color theme="1"/>
      <name val="Times New Roman"/>
    </font>
    <font>
      <sz val="12.0"/>
      <color rgb="FF000000"/>
      <name val="Verdana"/>
    </font>
    <font>
      <b/>
      <i/>
      <u/>
      <sz val="10.0"/>
      <color rgb="FFFF0000"/>
      <name val="Arial"/>
    </font>
    <font>
      <sz val="10.0"/>
      <color theme="1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C4D79B"/>
        <bgColor rgb="FFC4D79B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</fills>
  <borders count="49">
    <border/>
    <border>
      <left style="thick">
        <color rgb="FF005B2B"/>
      </left>
      <right style="thick">
        <color rgb="FF005B2B"/>
      </right>
      <top style="thick">
        <color rgb="FF000000"/>
      </top>
    </border>
    <border>
      <left style="thick">
        <color rgb="FF005B2B"/>
      </left>
      <right style="thick">
        <color rgb="FF005B2B"/>
      </right>
      <bottom style="thick">
        <color rgb="FF005B2B"/>
      </bottom>
    </border>
    <border>
      <bottom style="thick">
        <color rgb="FF4F6128"/>
      </bottom>
    </border>
    <border>
      <top style="thick">
        <color rgb="FF005B2B"/>
      </top>
    </border>
    <border>
      <left style="thick">
        <color rgb="FF4F6128"/>
      </left>
      <right style="thick">
        <color rgb="FF4F6128"/>
      </right>
      <top style="thick">
        <color rgb="FF4F6128"/>
      </top>
    </border>
    <border>
      <left style="thick">
        <color rgb="FF005B2B"/>
      </left>
      <right style="thick">
        <color rgb="FF005B2B"/>
      </right>
      <top style="thick">
        <color rgb="FF005B2B"/>
      </top>
    </border>
    <border>
      <left style="thick">
        <color rgb="FF005B2B"/>
      </left>
    </border>
    <border>
      <left style="thick">
        <color rgb="FF4F6128"/>
      </left>
      <right style="thick">
        <color rgb="FF005B2B"/>
      </right>
      <top style="thick">
        <color rgb="FF4F6128"/>
      </top>
    </border>
    <border>
      <left style="thick">
        <color rgb="FF005B2B"/>
      </left>
      <top style="thick">
        <color rgb="FF005B2B"/>
      </top>
    </border>
    <border>
      <right style="thick">
        <color rgb="FF005B2B"/>
      </right>
      <top style="thick">
        <color rgb="FF005B2B"/>
      </top>
    </border>
    <border>
      <left style="thick">
        <color rgb="FF4F6128"/>
      </left>
      <right style="thick">
        <color rgb="FF4F6128"/>
      </right>
    </border>
    <border>
      <right style="thick">
        <color rgb="FF005B2B"/>
      </right>
    </border>
    <border>
      <left style="thick">
        <color rgb="FF005B2B"/>
      </left>
      <right style="thick">
        <color rgb="FF005B2B"/>
      </right>
    </border>
    <border>
      <left style="thick">
        <color rgb="FF4F6128"/>
      </left>
      <right style="thick">
        <color rgb="FF005B2B"/>
      </right>
    </border>
    <border>
      <left style="thick">
        <color rgb="FF4F6128"/>
      </left>
      <right style="thick">
        <color rgb="FF005B2B"/>
      </right>
      <bottom style="thick">
        <color rgb="FF4F6128"/>
      </bottom>
    </border>
    <border>
      <left style="thick">
        <color rgb="FF005B2B"/>
      </left>
      <bottom style="thick">
        <color rgb="FF005B2B"/>
      </bottom>
    </border>
    <border>
      <right style="thick">
        <color rgb="FF005B2B"/>
      </right>
      <bottom style="thick">
        <color rgb="FF005B2B"/>
      </bottom>
    </border>
    <border>
      <bottom style="thick">
        <color rgb="FF005B2B"/>
      </bottom>
    </border>
    <border>
      <left style="thick">
        <color rgb="FF005B2B"/>
      </left>
      <right style="thick">
        <color rgb="FF005B2B"/>
      </right>
      <top style="thick">
        <color rgb="FF005B2B"/>
      </top>
      <bottom style="thick">
        <color rgb="FF005B2B"/>
      </bottom>
    </border>
    <border>
      <left style="thick">
        <color rgb="FF4F6128"/>
      </left>
      <right style="thick">
        <color rgb="FF4F6128"/>
      </right>
      <top style="thick">
        <color rgb="FF4F6128"/>
      </top>
      <bottom style="thick">
        <color rgb="FF005B2B"/>
      </bottom>
    </border>
    <border>
      <right style="thick">
        <color rgb="FF005B2B"/>
      </right>
      <top style="thick">
        <color rgb="FF005B2B"/>
      </top>
      <bottom style="thick">
        <color rgb="FF005B2B"/>
      </bottom>
    </border>
    <border>
      <top style="thick">
        <color rgb="FF4F6128"/>
      </top>
      <bottom style="thick">
        <color rgb="FF4F6128"/>
      </bottom>
    </border>
    <border>
      <top style="thick">
        <color rgb="FF005B2B"/>
      </top>
      <bottom style="thick">
        <color rgb="FF4F6128"/>
      </bottom>
    </border>
    <border>
      <left style="thick">
        <color rgb="FF4F6128"/>
      </left>
      <right/>
      <top style="thick">
        <color rgb="FF4F6128"/>
      </top>
      <bottom/>
    </border>
    <border>
      <left/>
      <right style="thick">
        <color rgb="FF4F6128"/>
      </right>
      <top style="thick">
        <color rgb="FF4F6128"/>
      </top>
      <bottom/>
    </border>
    <border>
      <left style="thick">
        <color rgb="FF4F6128"/>
      </left>
      <right style="thick">
        <color rgb="FF4F6128"/>
      </right>
      <bottom style="thick">
        <color rgb="FF4F6128"/>
      </bottom>
    </border>
    <border>
      <left style="thick">
        <color rgb="FF4F6128"/>
      </left>
      <right/>
      <top/>
      <bottom/>
    </border>
    <border>
      <left/>
      <right/>
      <top/>
      <bottom/>
    </border>
    <border>
      <left style="thick">
        <color rgb="FF4F6128"/>
      </left>
    </border>
    <border>
      <top style="thick">
        <color rgb="FF4F6128"/>
      </top>
    </border>
    <border>
      <left style="thick">
        <color rgb="FF4F6128"/>
      </left>
      <right/>
      <top/>
      <bottom style="thick">
        <color rgb="FF4F612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/>
    </border>
    <border>
      <right/>
      <top/>
      <bottom/>
    </border>
    <border>
      <left/>
      <right style="thin">
        <color rgb="FF000000"/>
      </right>
    </border>
    <border>
      <left/>
      <right style="thin">
        <color rgb="FF000000"/>
      </right>
      <bottom style="thick">
        <color rgb="FF005B2B"/>
      </bottom>
    </border>
    <border>
      <right/>
      <top/>
      <bottom style="thick">
        <color rgb="FF005B2B"/>
      </bottom>
    </border>
    <border>
      <right style="thin">
        <color rgb="FF000000"/>
      </right>
      <top/>
      <bottom/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top/>
      <bottom style="thick">
        <color rgb="FF005B2B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ck">
        <color rgb="FF005B2B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0" fillId="0" fontId="1" numFmtId="0" xfId="0" applyFont="1"/>
    <xf borderId="2" fillId="0" fontId="8" numFmtId="0" xfId="0" applyBorder="1" applyFont="1"/>
    <xf borderId="3" fillId="0" fontId="8" numFmtId="0" xfId="0" applyBorder="1" applyFont="1"/>
    <xf borderId="0" fillId="0" fontId="9" numFmtId="0" xfId="0" applyAlignment="1" applyFont="1">
      <alignment horizontal="center" vertical="center"/>
    </xf>
    <xf borderId="4" fillId="0" fontId="10" numFmtId="164" xfId="0" applyAlignment="1" applyBorder="1" applyFont="1" applyNumberFormat="1">
      <alignment horizontal="left"/>
    </xf>
    <xf borderId="0" fillId="0" fontId="10" numFmtId="164" xfId="0" applyAlignment="1" applyFont="1" applyNumberFormat="1">
      <alignment horizontal="left"/>
    </xf>
    <xf borderId="5" fillId="3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6" fillId="0" fontId="11" numFmtId="0" xfId="0" applyAlignment="1" applyBorder="1" applyFont="1">
      <alignment horizontal="center" shrinkToFit="0" vertical="center" wrapText="1"/>
    </xf>
    <xf borderId="7" fillId="0" fontId="12" numFmtId="0" xfId="0" applyBorder="1" applyFont="1"/>
    <xf borderId="8" fillId="0" fontId="13" numFmtId="0" xfId="0" applyAlignment="1" applyBorder="1" applyFont="1">
      <alignment horizontal="center"/>
    </xf>
    <xf borderId="9" fillId="0" fontId="13" numFmtId="0" xfId="0" applyAlignment="1" applyBorder="1" applyFont="1">
      <alignment horizontal="left" shrinkToFit="0" vertical="center" wrapText="1"/>
    </xf>
    <xf borderId="10" fillId="0" fontId="8" numFmtId="0" xfId="0" applyBorder="1" applyFont="1"/>
    <xf borderId="0" fillId="0" fontId="13" numFmtId="0" xfId="0" applyFont="1"/>
    <xf borderId="0" fillId="0" fontId="12" numFmtId="164" xfId="0" applyAlignment="1" applyFont="1" applyNumberFormat="1">
      <alignment horizontal="left"/>
    </xf>
    <xf borderId="11" fillId="0" fontId="8" numFmtId="0" xfId="0" applyBorder="1" applyFont="1"/>
    <xf borderId="12" fillId="0" fontId="13" numFmtId="165" xfId="0" applyBorder="1" applyFont="1" applyNumberFormat="1"/>
    <xf borderId="13" fillId="0" fontId="8" numFmtId="0" xfId="0" applyBorder="1" applyFont="1"/>
    <xf borderId="0" fillId="0" fontId="13" numFmtId="165" xfId="0" applyFont="1" applyNumberFormat="1"/>
    <xf borderId="14" fillId="0" fontId="13" numFmtId="0" xfId="0" applyAlignment="1" applyBorder="1" applyFont="1">
      <alignment horizontal="center"/>
    </xf>
    <xf borderId="7" fillId="0" fontId="13" numFmtId="0" xfId="0" applyAlignment="1" applyBorder="1" applyFont="1">
      <alignment horizontal="left" shrinkToFit="0" vertical="center" wrapText="1"/>
    </xf>
    <xf borderId="12" fillId="0" fontId="8" numFmtId="0" xfId="0" applyBorder="1" applyFont="1"/>
    <xf borderId="0" fillId="0" fontId="12" numFmtId="165" xfId="0" applyAlignment="1" applyFont="1" applyNumberFormat="1">
      <alignment vertical="center"/>
    </xf>
    <xf borderId="0" fillId="0" fontId="13" numFmtId="165" xfId="0" applyAlignment="1" applyFont="1" applyNumberFormat="1">
      <alignment vertical="center"/>
    </xf>
    <xf borderId="0" fillId="0" fontId="13" numFmtId="165" xfId="0" applyAlignment="1" applyFont="1" applyNumberFormat="1">
      <alignment horizontal="right"/>
    </xf>
    <xf borderId="0" fillId="0" fontId="13" numFmtId="165" xfId="0" applyAlignment="1" applyFont="1" applyNumberFormat="1">
      <alignment horizontal="right" vertical="center"/>
    </xf>
    <xf borderId="0" fillId="0" fontId="14" numFmtId="164" xfId="0" applyAlignment="1" applyFont="1" applyNumberFormat="1">
      <alignment horizontal="left"/>
    </xf>
    <xf borderId="15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left" shrinkToFit="0" vertical="center" wrapText="1"/>
    </xf>
    <xf borderId="17" fillId="0" fontId="8" numFmtId="0" xfId="0" applyBorder="1" applyFont="1"/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18" fillId="0" fontId="18" numFmtId="0" xfId="0" applyAlignment="1" applyBorder="1" applyFont="1">
      <alignment horizontal="left" vertical="center"/>
    </xf>
    <xf borderId="0" fillId="0" fontId="19" numFmtId="164" xfId="0" applyAlignment="1" applyFont="1" applyNumberFormat="1">
      <alignment horizontal="left"/>
    </xf>
    <xf borderId="12" fillId="0" fontId="20" numFmtId="165" xfId="0" applyBorder="1" applyFont="1" applyNumberFormat="1"/>
    <xf borderId="19" fillId="0" fontId="11" numFmtId="0" xfId="0" applyAlignment="1" applyBorder="1" applyFont="1">
      <alignment horizontal="center" shrinkToFit="0" vertical="center" wrapText="1"/>
    </xf>
    <xf borderId="0" fillId="0" fontId="20" numFmtId="165" xfId="0" applyFont="1" applyNumberFormat="1"/>
    <xf borderId="20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21" fillId="0" fontId="13" numFmtId="0" xfId="0" applyAlignment="1" applyBorder="1" applyFont="1">
      <alignment horizontal="left" vertical="center"/>
    </xf>
    <xf borderId="0" fillId="0" fontId="20" numFmtId="165" xfId="0" applyAlignment="1" applyFont="1" applyNumberFormat="1">
      <alignment vertical="center"/>
    </xf>
    <xf borderId="4" fillId="0" fontId="21" numFmtId="0" xfId="0" applyAlignment="1" applyBorder="1" applyFont="1">
      <alignment vertical="center"/>
    </xf>
    <xf borderId="22" fillId="0" fontId="22" numFmtId="0" xfId="0" applyAlignment="1" applyBorder="1" applyFont="1">
      <alignment horizontal="left" vertical="center"/>
    </xf>
    <xf borderId="23" fillId="0" fontId="23" numFmtId="0" xfId="0" applyAlignment="1" applyBorder="1" applyFont="1">
      <alignment horizontal="left" vertical="center"/>
    </xf>
    <xf borderId="6" fillId="3" fontId="11" numFmtId="0" xfId="0" applyAlignment="1" applyBorder="1" applyFont="1">
      <alignment horizontal="center" shrinkToFit="0" vertical="center" wrapText="1"/>
    </xf>
    <xf borderId="7" fillId="0" fontId="20" numFmtId="165" xfId="0" applyBorder="1" applyFont="1" applyNumberFormat="1"/>
    <xf borderId="24" fillId="3" fontId="24" numFmtId="0" xfId="0" applyAlignment="1" applyBorder="1" applyFont="1">
      <alignment horizontal="center" vertical="center"/>
    </xf>
    <xf borderId="24" fillId="3" fontId="25" numFmtId="0" xfId="0" applyAlignment="1" applyBorder="1" applyFont="1">
      <alignment vertical="center"/>
    </xf>
    <xf borderId="25" fillId="3" fontId="13" numFmtId="0" xfId="0" applyAlignment="1" applyBorder="1" applyFont="1">
      <alignment horizontal="left" vertical="center"/>
    </xf>
    <xf borderId="0" fillId="0" fontId="26" numFmtId="0" xfId="0" applyFont="1"/>
    <xf borderId="26" fillId="0" fontId="8" numFmtId="0" xfId="0" applyBorder="1" applyFont="1"/>
    <xf borderId="0" fillId="0" fontId="27" numFmtId="165" xfId="0" applyFont="1" applyNumberFormat="1"/>
    <xf borderId="7" fillId="0" fontId="27" numFmtId="165" xfId="0" applyBorder="1" applyFont="1" applyNumberFormat="1"/>
    <xf borderId="27" fillId="3" fontId="28" numFmtId="0" xfId="0" applyAlignment="1" applyBorder="1" applyFont="1">
      <alignment horizontal="center" vertical="center"/>
    </xf>
    <xf borderId="27" fillId="3" fontId="29" numFmtId="0" xfId="0" applyAlignment="1" applyBorder="1" applyFont="1">
      <alignment vertical="center"/>
    </xf>
    <xf borderId="28" fillId="3" fontId="13" numFmtId="0" xfId="0" applyAlignment="1" applyBorder="1" applyFont="1">
      <alignment horizontal="left" vertical="center"/>
    </xf>
    <xf borderId="29" fillId="0" fontId="30" numFmtId="0" xfId="0" applyAlignment="1" applyBorder="1" applyFont="1">
      <alignment horizontal="left" vertical="center"/>
    </xf>
    <xf borderId="0" fillId="0" fontId="27" numFmtId="165" xfId="0" applyAlignment="1" applyFont="1" applyNumberFormat="1">
      <alignment horizontal="right"/>
    </xf>
    <xf borderId="0" fillId="0" fontId="31" numFmtId="165" xfId="0" applyAlignment="1" applyFont="1" applyNumberFormat="1">
      <alignment vertical="center"/>
    </xf>
    <xf borderId="0" fillId="0" fontId="27" numFmtId="165" xfId="0" applyAlignment="1" applyFont="1" applyNumberFormat="1">
      <alignment horizontal="right" vertical="center"/>
    </xf>
    <xf borderId="0" fillId="0" fontId="32" numFmtId="165" xfId="0" applyAlignment="1" applyFont="1" applyNumberFormat="1">
      <alignment vertical="center"/>
    </xf>
    <xf borderId="0" fillId="0" fontId="20" numFmtId="165" xfId="0" applyAlignment="1" applyFont="1" applyNumberFormat="1">
      <alignment horizontal="right" vertical="center"/>
    </xf>
    <xf borderId="0" fillId="0" fontId="33" numFmtId="164" xfId="0" applyAlignment="1" applyFont="1" applyNumberFormat="1">
      <alignment horizontal="left"/>
    </xf>
    <xf borderId="30" fillId="0" fontId="10" numFmtId="0" xfId="0" applyAlignment="1" applyBorder="1" applyFont="1">
      <alignment shrinkToFit="0" vertical="center" wrapText="1"/>
    </xf>
    <xf borderId="31" fillId="3" fontId="13" numFmtId="0" xfId="0" applyAlignment="1" applyBorder="1" applyFont="1">
      <alignment vertical="center"/>
    </xf>
    <xf borderId="28" fillId="3" fontId="27" numFmtId="165" xfId="0" applyAlignment="1" applyBorder="1" applyFont="1" applyNumberFormat="1">
      <alignment horizontal="right"/>
    </xf>
    <xf borderId="29" fillId="0" fontId="27" numFmtId="165" xfId="0" applyAlignment="1" applyBorder="1" applyFont="1" applyNumberFormat="1">
      <alignment horizontal="right"/>
    </xf>
    <xf borderId="0" fillId="0" fontId="34" numFmtId="0" xfId="0" applyFont="1"/>
    <xf borderId="30" fillId="0" fontId="35" numFmtId="165" xfId="0" applyBorder="1" applyFont="1" applyNumberFormat="1"/>
    <xf borderId="0" fillId="0" fontId="34" numFmtId="165" xfId="0" applyFont="1" applyNumberFormat="1"/>
    <xf borderId="30" fillId="0" fontId="34" numFmtId="165" xfId="0" applyBorder="1" applyFont="1" applyNumberFormat="1"/>
    <xf borderId="0" fillId="0" fontId="35" numFmtId="165" xfId="0" applyFont="1" applyNumberFormat="1"/>
    <xf borderId="0" fillId="0" fontId="36" numFmtId="0" xfId="0" applyFont="1"/>
    <xf borderId="0" fillId="0" fontId="37" numFmtId="0" xfId="0" applyAlignment="1" applyFont="1">
      <alignment vertical="center"/>
    </xf>
    <xf borderId="0" fillId="0" fontId="38" numFmtId="0" xfId="0" applyAlignment="1" applyFont="1">
      <alignment vertical="center"/>
    </xf>
    <xf borderId="32" fillId="4" fontId="13" numFmtId="166" xfId="0" applyAlignment="1" applyBorder="1" applyFill="1" applyFont="1" applyNumberFormat="1">
      <alignment horizontal="center" shrinkToFit="0" vertical="center" wrapText="1"/>
    </xf>
    <xf borderId="33" fillId="2" fontId="12" numFmtId="165" xfId="0" applyAlignment="1" applyBorder="1" applyFont="1" applyNumberFormat="1">
      <alignment horizontal="left" shrinkToFit="0" vertical="center" wrapText="1"/>
    </xf>
    <xf borderId="34" fillId="0" fontId="8" numFmtId="0" xfId="0" applyBorder="1" applyFont="1"/>
    <xf borderId="28" fillId="2" fontId="39" numFmtId="165" xfId="0" applyAlignment="1" applyBorder="1" applyFont="1" applyNumberFormat="1">
      <alignment horizontal="right" shrinkToFit="0" vertical="center" wrapText="1"/>
    </xf>
    <xf borderId="35" fillId="5" fontId="40" numFmtId="0" xfId="0" applyAlignment="1" applyBorder="1" applyFill="1" applyFont="1">
      <alignment horizontal="center" shrinkToFit="0" textRotation="90" vertical="center" wrapText="1"/>
    </xf>
    <xf borderId="36" fillId="5" fontId="19" numFmtId="0" xfId="0" applyAlignment="1" applyBorder="1" applyFont="1">
      <alignment shrinkToFit="0" vertical="center" wrapText="1"/>
    </xf>
    <xf borderId="0" fillId="0" fontId="21" numFmtId="165" xfId="0" applyAlignment="1" applyFont="1" applyNumberFormat="1">
      <alignment horizontal="right"/>
    </xf>
    <xf borderId="37" fillId="0" fontId="8" numFmtId="0" xfId="0" applyBorder="1" applyFont="1"/>
    <xf borderId="38" fillId="0" fontId="8" numFmtId="0" xfId="0" applyBorder="1" applyFont="1"/>
    <xf borderId="39" fillId="5" fontId="41" numFmtId="165" xfId="0" applyAlignment="1" applyBorder="1" applyFont="1" applyNumberFormat="1">
      <alignment shrinkToFit="0" vertical="center" wrapText="1"/>
    </xf>
    <xf borderId="18" fillId="0" fontId="41" numFmtId="165" xfId="0" applyAlignment="1" applyBorder="1" applyFont="1" applyNumberFormat="1">
      <alignment shrinkToFit="0" vertical="center" wrapText="1"/>
    </xf>
    <xf borderId="37" fillId="6" fontId="40" numFmtId="0" xfId="0" applyAlignment="1" applyBorder="1" applyFill="1" applyFont="1">
      <alignment horizontal="center" shrinkToFit="0" textRotation="90" vertical="center" wrapText="1"/>
    </xf>
    <xf borderId="40" fillId="6" fontId="19" numFmtId="0" xfId="0" applyAlignment="1" applyBorder="1" applyFont="1">
      <alignment shrinkToFit="0" vertical="center" wrapText="1"/>
    </xf>
    <xf borderId="28" fillId="4" fontId="21" numFmtId="165" xfId="0" applyAlignment="1" applyBorder="1" applyFont="1" applyNumberFormat="1">
      <alignment horizontal="right"/>
    </xf>
    <xf borderId="0" fillId="0" fontId="42" numFmtId="0" xfId="0" applyFont="1"/>
    <xf borderId="0" fillId="0" fontId="42" numFmtId="0" xfId="0" applyAlignment="1" applyFont="1">
      <alignment horizontal="left" shrinkToFit="0" wrapText="1"/>
    </xf>
    <xf borderId="0" fillId="0" fontId="43" numFmtId="0" xfId="0" applyFont="1"/>
    <xf borderId="41" fillId="0" fontId="44" numFmtId="0" xfId="0" applyAlignment="1" applyBorder="1" applyFont="1">
      <alignment vertical="center"/>
    </xf>
    <xf borderId="42" fillId="4" fontId="13" numFmtId="166" xfId="0" applyAlignment="1" applyBorder="1" applyFont="1" applyNumberFormat="1">
      <alignment horizontal="center" shrinkToFit="0" vertical="center" wrapText="1"/>
    </xf>
    <xf borderId="43" fillId="0" fontId="8" numFmtId="0" xfId="0" applyBorder="1" applyFont="1"/>
    <xf borderId="44" fillId="2" fontId="12" numFmtId="165" xfId="0" applyAlignment="1" applyBorder="1" applyFont="1" applyNumberFormat="1">
      <alignment horizontal="left" shrinkToFit="0" vertical="center" wrapText="1"/>
    </xf>
    <xf borderId="36" fillId="0" fontId="8" numFmtId="0" xfId="0" applyBorder="1" applyFont="1"/>
    <xf borderId="0" fillId="0" fontId="45" numFmtId="165" xfId="0" applyAlignment="1" applyFont="1" applyNumberFormat="1">
      <alignment horizontal="right" shrinkToFit="0" vertical="center" wrapText="1"/>
    </xf>
    <xf borderId="28" fillId="5" fontId="19" numFmtId="0" xfId="0" applyAlignment="1" applyBorder="1" applyFont="1">
      <alignment shrinkToFit="0" vertical="center" wrapText="1"/>
    </xf>
    <xf borderId="45" fillId="5" fontId="41" numFmtId="165" xfId="0" applyAlignment="1" applyBorder="1" applyFont="1" applyNumberFormat="1">
      <alignment shrinkToFit="0" vertical="center" wrapText="1"/>
    </xf>
    <xf borderId="46" fillId="4" fontId="13" numFmtId="166" xfId="0" applyAlignment="1" applyBorder="1" applyFont="1" applyNumberFormat="1">
      <alignment horizontal="center" shrinkToFit="0" vertical="center" wrapText="1"/>
    </xf>
    <xf borderId="40" fillId="0" fontId="8" numFmtId="0" xfId="0" applyBorder="1" applyFont="1"/>
    <xf borderId="47" fillId="5" fontId="19" numFmtId="0" xfId="0" applyAlignment="1" applyBorder="1" applyFont="1">
      <alignment shrinkToFit="0" vertical="center" wrapText="1"/>
    </xf>
    <xf borderId="0" fillId="0" fontId="13" numFmtId="4" xfId="0" applyAlignment="1" applyFont="1" applyNumberFormat="1">
      <alignment vertical="center"/>
    </xf>
    <xf borderId="0" fillId="0" fontId="13" numFmtId="167" xfId="0" applyAlignment="1" applyFont="1" applyNumberFormat="1">
      <alignment vertical="center"/>
    </xf>
    <xf borderId="48" fillId="5" fontId="41" numFmtId="165" xfId="0" applyAlignment="1" applyBorder="1" applyFont="1" applyNumberFormat="1">
      <alignment shrinkToFit="0" vertical="center" wrapText="1"/>
    </xf>
    <xf borderId="3" fillId="0" fontId="13" numFmtId="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chartsheet" Target="chartsheets/sheet3.xml"/><Relationship Id="rId9" Type="http://schemas.openxmlformats.org/officeDocument/2006/relationships/worksheet" Target="worksheets/sheet4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9900FF"/>
                </a:solidFill>
                <a:latin typeface="Arial"/>
              </a:defRPr>
            </a:pPr>
            <a:r>
              <a:rPr b="1" sz="1600">
                <a:solidFill>
                  <a:srgbClr val="9900FF"/>
                </a:solidFill>
                <a:latin typeface="Arial"/>
              </a:rPr>
              <a:t>Базовий індекс споживчих цін в Україні в розрізі товарних груп/ CPI core in Ukraine </a:t>
            </a:r>
          </a:p>
        </c:rich>
      </c:tx>
      <c:layout>
        <c:manualLayout>
          <c:xMode val="edge"/>
          <c:yMode val="edge"/>
          <c:x val="0.038288288288288286"/>
          <c:y val="0.052150537634408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'1'!$B$5:$B$17</c:f>
            </c:strRef>
          </c:cat>
          <c:val>
            <c:numRef>
              <c:f>'1'!$C$5:$C$17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'1'!$B$5:$B$17</c:f>
            </c:strRef>
          </c:cat>
          <c:val>
            <c:numRef>
              <c:f>'1'!$C$5:$C$17</c:f>
              <c:numCache/>
            </c:numRef>
          </c:val>
        </c:ser>
        <c:ser>
          <c:idx val="2"/>
          <c:order val="2"/>
          <c:tx>
            <c:v>2022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'1'!$B$5:$B$17</c:f>
            </c:strRef>
          </c:cat>
          <c:val>
            <c:numRef>
              <c:f>'1'!$D$5:$D$17</c:f>
              <c:numCache/>
            </c:numRef>
          </c:val>
        </c:ser>
        <c:ser>
          <c:idx val="3"/>
          <c:order val="3"/>
          <c:tx>
            <c:v>2023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'1'!$B$5:$B$17</c:f>
            </c:strRef>
          </c:cat>
          <c:val>
            <c:numRef>
              <c:f>'1'!$E$5:$E$17</c:f>
              <c:numCache/>
            </c:numRef>
          </c:val>
        </c:ser>
        <c:ser>
          <c:idx val="4"/>
          <c:order val="4"/>
          <c:tx>
            <c:v>2024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'1'!$B$5:$B$17</c:f>
            </c:strRef>
          </c:cat>
          <c:val>
            <c:numRef>
              <c:f>'1'!$F$5:$F$17</c:f>
              <c:numCache/>
            </c:numRef>
          </c:val>
        </c:ser>
        <c:ser>
          <c:idx val="5"/>
          <c:order val="5"/>
          <c:tx>
            <c:strRef>
              <c:f>'1'!$G$4</c:f>
            </c:strRef>
          </c:tx>
          <c:cat>
            <c:strRef>
              <c:f>'1'!$B$5:$B$17</c:f>
            </c:strRef>
          </c:cat>
          <c:val>
            <c:numRef>
              <c:f>'1'!$G$5:$G$17</c:f>
              <c:numCache/>
            </c:numRef>
          </c:val>
        </c:ser>
        <c:axId val="1287239694"/>
        <c:axId val="1366655477"/>
      </c:barChart>
      <c:catAx>
        <c:axId val="1287239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66655477"/>
      </c:catAx>
      <c:valAx>
        <c:axId val="1366655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6AA84F"/>
                    </a:solidFill>
                    <a:latin typeface="Arial"/>
                  </a:defRPr>
                </a:pPr>
                <a:r>
                  <a:rPr b="1" sz="1600">
                    <a:solidFill>
                      <a:srgbClr val="6AA84F"/>
                    </a:solidFill>
                    <a:latin typeface="Arial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239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D9D2E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Базовий індекс споживчих цін за ключовими регіонами/             CPI core by key regions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'1'!$B$18:$B$22</c:f>
            </c:strRef>
          </c:cat>
          <c:val>
            <c:numRef>
              <c:f>'1'!$C$18:$C$22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'1'!$B$18:$B$22</c:f>
            </c:strRef>
          </c:cat>
          <c:val>
            <c:numRef>
              <c:f>'1'!$D$18:$D$22</c:f>
              <c:numCache/>
            </c:numRef>
          </c:val>
        </c:ser>
        <c:ser>
          <c:idx val="2"/>
          <c:order val="2"/>
          <c:tx>
            <c:v>2022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'1'!$B$18:$B$22</c:f>
            </c:strRef>
          </c:cat>
          <c:val>
            <c:numRef>
              <c:f>'1'!$E$18:$E$22</c:f>
              <c:numCache/>
            </c:numRef>
          </c:val>
        </c:ser>
        <c:ser>
          <c:idx val="3"/>
          <c:order val="3"/>
          <c:tx>
            <c:v>2023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'1'!$B$18:$B$22</c:f>
            </c:strRef>
          </c:cat>
          <c:val>
            <c:numRef>
              <c:f>'1'!$F$18:$F$22</c:f>
              <c:numCache/>
            </c:numRef>
          </c:val>
        </c:ser>
        <c:ser>
          <c:idx val="4"/>
          <c:order val="4"/>
          <c:tx>
            <c:v>2024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'1'!$B$18:$B$22</c:f>
            </c:strRef>
          </c:cat>
          <c:val>
            <c:numRef>
              <c:f>'1'!$G$18:$G$22</c:f>
              <c:numCache/>
            </c:numRef>
          </c:val>
        </c:ser>
        <c:axId val="1741466658"/>
        <c:axId val="858389561"/>
      </c:bar3DChart>
      <c:catAx>
        <c:axId val="1741466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389561"/>
      </c:catAx>
      <c:valAx>
        <c:axId val="858389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466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B4A7D6"/>
                </a:solidFill>
                <a:latin typeface="Arial"/>
              </a:defRPr>
            </a:pPr>
            <a:r>
              <a:rPr b="1">
                <a:solidFill>
                  <a:srgbClr val="B4A7D6"/>
                </a:solidFill>
                <a:latin typeface="Arial"/>
              </a:rPr>
              <a:t>Вагова структура ІСЦ у 2023 р,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'3'!$B$4:$B$15</c:f>
            </c:strRef>
          </c:cat>
          <c:val>
            <c:numRef>
              <c:f>'3'!$C$4:$C$15</c:f>
              <c:numCache/>
            </c:numRef>
          </c:val>
        </c:ser>
        <c:axId val="1739739241"/>
        <c:axId val="1769255794"/>
      </c:barChart>
      <c:catAx>
        <c:axId val="1739739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255794"/>
      </c:catAx>
      <c:valAx>
        <c:axId val="1769255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39739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5</xdr:row>
      <xdr:rowOff>9525</xdr:rowOff>
    </xdr:from>
    <xdr:ext cx="8543925" cy="2038350"/>
    <xdr:grpSp>
      <xdr:nvGrpSpPr>
        <xdr:cNvPr id="2" name="Shape 2"/>
        <xdr:cNvGrpSpPr/>
      </xdr:nvGrpSpPr>
      <xdr:grpSpPr>
        <a:xfrm>
          <a:off x="1074038" y="2760825"/>
          <a:ext cx="8543925" cy="2038350"/>
          <a:chOff x="1074038" y="2760825"/>
          <a:chExt cx="8543925" cy="2038350"/>
        </a:xfrm>
      </xdr:grpSpPr>
      <xdr:grpSp>
        <xdr:nvGrpSpPr>
          <xdr:cNvPr id="3" name="Shape 3"/>
          <xdr:cNvGrpSpPr/>
        </xdr:nvGrpSpPr>
        <xdr:grpSpPr>
          <a:xfrm>
            <a:off x="1074038" y="2760825"/>
            <a:ext cx="8543925" cy="2038350"/>
            <a:chOff x="1076325" y="1228725"/>
            <a:chExt cx="7086600" cy="2038350"/>
          </a:xfrm>
        </xdr:grpSpPr>
        <xdr:sp>
          <xdr:nvSpPr>
            <xdr:cNvPr id="4" name="Shape 4"/>
            <xdr:cNvSpPr/>
          </xdr:nvSpPr>
          <xdr:spPr>
            <a:xfrm>
              <a:off x="1076325" y="1228725"/>
              <a:ext cx="7086600" cy="2038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 rot="10800000">
              <a:off x="4652132" y="1685925"/>
              <a:ext cx="984508" cy="647700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6" name="Shape 6"/>
            <xdr:cNvCxnSpPr/>
          </xdr:nvCxnSpPr>
          <xdr:spPr>
            <a:xfrm flipH="1">
              <a:off x="1076325" y="1228725"/>
              <a:ext cx="19051" cy="122872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cxnSp>
          <xdr:nvCxnSpPr>
            <xdr:cNvPr id="7" name="Shape 7"/>
            <xdr:cNvCxnSpPr/>
          </xdr:nvCxnSpPr>
          <xdr:spPr>
            <a:xfrm>
              <a:off x="1076325" y="2447925"/>
              <a:ext cx="1752600" cy="952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8" name="Shape 8"/>
            <xdr:cNvCxnSpPr/>
          </xdr:nvCxnSpPr>
          <xdr:spPr>
            <a:xfrm>
              <a:off x="4661420" y="2343150"/>
              <a:ext cx="1003821" cy="27622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9" name="Shape 9"/>
            <xdr:cNvCxnSpPr/>
          </xdr:nvCxnSpPr>
          <xdr:spPr>
            <a:xfrm>
              <a:off x="4652132" y="2324100"/>
              <a:ext cx="993796" cy="94297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0" name="Shape 10"/>
            <xdr:cNvCxnSpPr/>
          </xdr:nvCxnSpPr>
          <xdr:spPr>
            <a:xfrm flipH="1" rot="10800000">
              <a:off x="7181850" y="1704975"/>
              <a:ext cx="971550" cy="952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1" name="Shape 11"/>
            <xdr:cNvCxnSpPr/>
          </xdr:nvCxnSpPr>
          <xdr:spPr>
            <a:xfrm flipH="1" rot="10800000">
              <a:off x="7181850" y="2590800"/>
              <a:ext cx="971550" cy="952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2" name="Shape 12"/>
            <xdr:cNvCxnSpPr/>
          </xdr:nvCxnSpPr>
          <xdr:spPr>
            <a:xfrm flipH="1" rot="10800000">
              <a:off x="7191375" y="3228975"/>
              <a:ext cx="971550" cy="9525"/>
            </a:xfrm>
            <a:prstGeom prst="straightConnector1">
              <a:avLst/>
            </a:prstGeom>
            <a:noFill/>
            <a:ln cap="flat" cmpd="sng" w="25400">
              <a:solidFill>
                <a:srgbClr val="005B2B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4.71"/>
    <col customWidth="1" min="3" max="3" width="15.71"/>
    <col customWidth="1" min="4" max="4" width="33.29"/>
    <col customWidth="1" min="5" max="5" width="17.71"/>
    <col customWidth="1" min="6" max="6" width="28.14"/>
    <col customWidth="1" min="7" max="7" width="17.14"/>
    <col customWidth="1" min="8" max="8" width="6.71"/>
    <col customWidth="1" min="9" max="9" width="11.29"/>
    <col customWidth="1" min="10" max="10" width="52.14"/>
    <col customWidth="1" min="11" max="11" width="15.14"/>
    <col customWidth="1" min="12" max="12" width="8.0"/>
    <col customWidth="1" min="13" max="13" width="10.71"/>
    <col customWidth="1" min="14" max="17" width="7.71"/>
    <col customWidth="1" min="18" max="18" width="9.0"/>
    <col customWidth="1" min="19" max="20" width="7.71"/>
    <col customWidth="1" min="21" max="22" width="7.14"/>
    <col customWidth="1" min="23" max="26" width="9.29"/>
  </cols>
  <sheetData>
    <row r="1" ht="13.5" customHeight="1">
      <c r="A1" s="1">
        <v>1.0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B2" s="4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"/>
      <c r="X2" s="2"/>
      <c r="Y2" s="2"/>
      <c r="Z2" s="2"/>
    </row>
    <row r="3" ht="13.5" customHeight="1">
      <c r="A3" s="7" t="s">
        <v>1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"/>
      <c r="X3" s="2"/>
      <c r="Y3" s="2"/>
      <c r="Z3" s="2"/>
    </row>
    <row r="4" ht="21.75" customHeight="1">
      <c r="A4" s="7"/>
      <c r="B4" s="8" t="str">
        <f>IF(A1=1,"ЦІНИ","PRICES")</f>
        <v>ЦІНИ</v>
      </c>
      <c r="C4" s="9"/>
      <c r="D4" s="10"/>
      <c r="E4" s="11"/>
      <c r="F4" s="11"/>
      <c r="G4" s="11"/>
      <c r="H4" s="10"/>
      <c r="I4" s="11"/>
      <c r="J4" s="11"/>
      <c r="K4" s="11"/>
      <c r="L4" s="11"/>
      <c r="M4" s="12"/>
      <c r="N4" s="11"/>
      <c r="O4" s="11"/>
      <c r="P4" s="11"/>
      <c r="Q4" s="11"/>
      <c r="R4" s="10"/>
      <c r="S4" s="11"/>
      <c r="T4" s="11"/>
      <c r="U4" s="11"/>
      <c r="V4" s="11"/>
      <c r="W4" s="13"/>
      <c r="X4" s="13"/>
      <c r="Y4" s="13"/>
      <c r="Z4" s="13"/>
    </row>
    <row r="5" ht="21.0" customHeight="1">
      <c r="A5" s="7"/>
      <c r="B5" s="14"/>
      <c r="C5" s="9"/>
      <c r="E5" s="11"/>
      <c r="F5" s="11"/>
      <c r="G5" s="11"/>
      <c r="H5" s="15"/>
      <c r="I5" s="11"/>
      <c r="J5" s="11"/>
      <c r="K5" s="11"/>
      <c r="L5" s="11"/>
      <c r="N5" s="16"/>
      <c r="O5" s="16"/>
      <c r="P5" s="16"/>
      <c r="Q5" s="16"/>
      <c r="S5" s="16"/>
      <c r="T5" s="16"/>
      <c r="U5" s="16"/>
      <c r="V5" s="16"/>
      <c r="W5" s="13"/>
      <c r="X5" s="13"/>
      <c r="Y5" s="13"/>
      <c r="Z5" s="13"/>
    </row>
    <row r="6" ht="16.5" customHeight="1">
      <c r="A6" s="13"/>
      <c r="B6" s="17"/>
      <c r="C6" s="18"/>
      <c r="D6" s="19" t="str">
        <f>IF(A1=1,"Індекс споживчих цін (зміна показника)","Consumer price indices (indicator change)")</f>
        <v>Індекс споживчих цін (зміна показника)</v>
      </c>
      <c r="E6" s="20"/>
      <c r="F6" s="21" t="str">
        <f>IF(A1=1,"Місяць","Month")</f>
        <v>Місяць</v>
      </c>
      <c r="G6" s="22"/>
      <c r="H6" s="23">
        <v>1.0</v>
      </c>
      <c r="I6" s="24" t="str">
        <f>IF(A1=1,"до попереднього місяця, %","to the previous month, %")</f>
        <v>до попереднього місяця, %</v>
      </c>
      <c r="J6" s="25"/>
      <c r="K6" s="20"/>
      <c r="L6" s="26"/>
      <c r="M6" s="20"/>
      <c r="N6" s="20"/>
      <c r="O6" s="26"/>
      <c r="P6" s="26"/>
      <c r="Q6" s="26"/>
      <c r="R6" s="26"/>
      <c r="S6" s="26"/>
      <c r="T6" s="26"/>
      <c r="U6" s="26"/>
      <c r="V6" s="26"/>
      <c r="W6" s="13"/>
      <c r="X6" s="13"/>
      <c r="Y6" s="13"/>
      <c r="Z6" s="13"/>
    </row>
    <row r="7" ht="22.5" customHeight="1">
      <c r="A7" s="13"/>
      <c r="B7" s="27"/>
      <c r="C7" s="27"/>
      <c r="D7" s="28"/>
      <c r="E7" s="29"/>
      <c r="F7" s="30"/>
      <c r="G7" s="31"/>
      <c r="H7" s="32">
        <v>2.0</v>
      </c>
      <c r="I7" s="33" t="str">
        <f>IF(A1=1,"до грудня попереднього року, %","to December of the previous year, %")</f>
        <v>до грудня попереднього року, %</v>
      </c>
      <c r="J7" s="34"/>
      <c r="K7" s="31"/>
      <c r="L7" s="31"/>
      <c r="M7" s="35"/>
      <c r="N7" s="36"/>
      <c r="O7" s="36"/>
      <c r="P7" s="36"/>
      <c r="Q7" s="36"/>
      <c r="R7" s="35"/>
      <c r="S7" s="36"/>
      <c r="T7" s="36"/>
      <c r="U7" s="36"/>
      <c r="V7" s="36"/>
      <c r="W7" s="13"/>
      <c r="X7" s="13"/>
      <c r="Y7" s="13"/>
      <c r="Z7" s="13"/>
    </row>
    <row r="8" ht="16.5" customHeight="1">
      <c r="A8" s="13"/>
      <c r="B8" s="18"/>
      <c r="C8" s="18"/>
      <c r="D8" s="28"/>
      <c r="E8" s="37"/>
      <c r="F8" s="30"/>
      <c r="G8" s="37"/>
      <c r="H8" s="32">
        <v>3.0</v>
      </c>
      <c r="I8" s="33" t="str">
        <f>IF(A1=1,"до відповідного періоду попереднього року, кумулятивно, %","to соrresponding period of the previous year, cumulative, %")</f>
        <v>до відповідного періоду попереднього року, кумулятивно, %</v>
      </c>
      <c r="J8" s="34"/>
      <c r="K8" s="37"/>
      <c r="L8" s="37"/>
      <c r="M8" s="35"/>
      <c r="N8" s="38"/>
      <c r="O8" s="38"/>
      <c r="P8" s="38"/>
      <c r="Q8" s="38"/>
      <c r="R8" s="35"/>
      <c r="S8" s="38"/>
      <c r="T8" s="38"/>
      <c r="U8" s="38"/>
      <c r="V8" s="38"/>
      <c r="W8" s="13"/>
      <c r="X8" s="13"/>
      <c r="Y8" s="13"/>
      <c r="Z8" s="13"/>
    </row>
    <row r="9" ht="21.75" customHeight="1">
      <c r="A9" s="13"/>
      <c r="B9" s="39"/>
      <c r="C9" s="39"/>
      <c r="D9" s="28"/>
      <c r="E9" s="31"/>
      <c r="F9" s="14"/>
      <c r="G9" s="31"/>
      <c r="H9" s="40">
        <v>4.0</v>
      </c>
      <c r="I9" s="41" t="str">
        <f>IF(A1=1,"до відповідного місяця попереднього року, %","to соrresponding month of the previous year, %")</f>
        <v>до відповідного місяця попереднього року, %</v>
      </c>
      <c r="J9" s="42"/>
      <c r="K9" s="37"/>
      <c r="L9" s="37"/>
      <c r="M9" s="35"/>
      <c r="N9" s="38"/>
      <c r="O9" s="38"/>
      <c r="P9" s="38"/>
      <c r="Q9" s="38"/>
      <c r="R9" s="35"/>
      <c r="S9" s="38"/>
      <c r="T9" s="38"/>
      <c r="U9" s="38"/>
      <c r="V9" s="38"/>
      <c r="W9" s="13"/>
      <c r="X9" s="13"/>
      <c r="Y9" s="13"/>
      <c r="Z9" s="13"/>
    </row>
    <row r="10" ht="9.75" customHeight="1">
      <c r="A10" s="13"/>
      <c r="B10" s="39"/>
      <c r="C10" s="39"/>
      <c r="D10" s="28"/>
      <c r="E10" s="31"/>
      <c r="F10" s="43"/>
      <c r="G10" s="31"/>
      <c r="H10" s="44"/>
      <c r="I10" s="45"/>
      <c r="J10" s="45"/>
      <c r="K10" s="37"/>
      <c r="L10" s="37"/>
      <c r="M10" s="35"/>
      <c r="N10" s="38"/>
      <c r="O10" s="38"/>
      <c r="P10" s="38"/>
      <c r="Q10" s="38"/>
      <c r="R10" s="35"/>
      <c r="S10" s="38"/>
      <c r="T10" s="38"/>
      <c r="U10" s="38"/>
      <c r="V10" s="38"/>
      <c r="W10" s="13"/>
      <c r="X10" s="13"/>
      <c r="Y10" s="13"/>
      <c r="Z10" s="13"/>
    </row>
    <row r="11" ht="4.5" customHeight="1">
      <c r="A11" s="13"/>
      <c r="B11" s="39"/>
      <c r="C11" s="39"/>
      <c r="D11" s="28"/>
      <c r="E11" s="31"/>
      <c r="F11" s="11"/>
      <c r="G11" s="31"/>
      <c r="H11" s="44"/>
      <c r="I11" s="46"/>
      <c r="J11" s="45"/>
      <c r="K11" s="37"/>
      <c r="L11" s="37"/>
      <c r="M11" s="35"/>
      <c r="N11" s="38"/>
      <c r="O11" s="38"/>
      <c r="P11" s="38"/>
      <c r="Q11" s="38"/>
      <c r="R11" s="35"/>
      <c r="S11" s="38"/>
      <c r="T11" s="38"/>
      <c r="U11" s="38"/>
      <c r="V11" s="38"/>
      <c r="W11" s="13"/>
      <c r="X11" s="13"/>
      <c r="Y11" s="13"/>
      <c r="Z11" s="13"/>
    </row>
    <row r="12" ht="33.0" customHeight="1">
      <c r="A12" s="13"/>
      <c r="B12" s="47"/>
      <c r="C12" s="47"/>
      <c r="D12" s="28"/>
      <c r="E12" s="48"/>
      <c r="F12" s="49" t="str">
        <f>IF(A1=1,"Квартал","Quarter")</f>
        <v>Квартал</v>
      </c>
      <c r="G12" s="50"/>
      <c r="H12" s="51">
        <v>1.0</v>
      </c>
      <c r="I12" s="52" t="str">
        <f>IF(A1=1,"до грудня попереднього року, %","to December of the previous year, %")</f>
        <v>до грудня попереднього року, %</v>
      </c>
      <c r="J12" s="53"/>
      <c r="K12" s="50"/>
      <c r="L12" s="50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13"/>
      <c r="X12" s="13"/>
      <c r="Y12" s="13"/>
      <c r="Z12" s="13"/>
    </row>
    <row r="13" ht="16.5" customHeight="1">
      <c r="A13" s="13"/>
      <c r="B13" s="47"/>
      <c r="C13" s="47"/>
      <c r="D13" s="28"/>
      <c r="E13" s="50"/>
      <c r="F13" s="11"/>
      <c r="G13" s="50"/>
      <c r="H13" s="55"/>
      <c r="I13" s="56"/>
      <c r="J13" s="57"/>
      <c r="K13" s="50"/>
      <c r="L13" s="50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13"/>
      <c r="X13" s="13"/>
      <c r="Y13" s="13"/>
      <c r="Z13" s="13"/>
    </row>
    <row r="14" ht="21.75" customHeight="1">
      <c r="A14" s="13"/>
      <c r="B14" s="39"/>
      <c r="C14" s="39"/>
      <c r="D14" s="28"/>
      <c r="E14" s="50"/>
      <c r="F14" s="58" t="str">
        <f>IF(A1=1,"Рік ","Year")</f>
        <v>Рік </v>
      </c>
      <c r="G14" s="59"/>
      <c r="H14" s="60" t="s">
        <v>2</v>
      </c>
      <c r="I14" s="61" t="s">
        <v>3</v>
      </c>
      <c r="J14" s="62"/>
      <c r="K14" s="45"/>
      <c r="L14" s="50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13"/>
      <c r="X14" s="13"/>
      <c r="Y14" s="13"/>
      <c r="Z14" s="13"/>
    </row>
    <row r="15" ht="16.5" customHeight="1">
      <c r="A15" s="63"/>
      <c r="B15" s="39"/>
      <c r="C15" s="39"/>
      <c r="D15" s="64"/>
      <c r="E15" s="65"/>
      <c r="F15" s="14"/>
      <c r="G15" s="66"/>
      <c r="H15" s="67" t="s">
        <v>4</v>
      </c>
      <c r="I15" s="68" t="s">
        <v>5</v>
      </c>
      <c r="J15" s="69"/>
      <c r="K15" s="70"/>
      <c r="L15" s="71"/>
      <c r="M15" s="72"/>
      <c r="N15" s="73"/>
      <c r="O15" s="73"/>
      <c r="P15" s="73"/>
      <c r="Q15" s="73"/>
      <c r="R15" s="74"/>
      <c r="S15" s="75"/>
      <c r="T15" s="75"/>
      <c r="U15" s="75"/>
      <c r="V15" s="75"/>
      <c r="W15" s="63"/>
      <c r="X15" s="63"/>
      <c r="Y15" s="63"/>
      <c r="Z15" s="63"/>
    </row>
    <row r="16" ht="15.75" customHeight="1">
      <c r="A16" s="63"/>
      <c r="B16" s="76"/>
      <c r="C16" s="76"/>
      <c r="D16" s="77"/>
      <c r="E16" s="65"/>
      <c r="F16" s="65"/>
      <c r="G16" s="65"/>
      <c r="H16" s="67" t="s">
        <v>6</v>
      </c>
      <c r="I16" s="78" t="s">
        <v>7</v>
      </c>
      <c r="J16" s="79"/>
      <c r="K16" s="80"/>
      <c r="L16" s="71"/>
      <c r="M16" s="72"/>
      <c r="N16" s="73"/>
      <c r="O16" s="73"/>
      <c r="P16" s="73"/>
      <c r="Q16" s="73"/>
      <c r="R16" s="74"/>
      <c r="S16" s="75"/>
      <c r="T16" s="75"/>
      <c r="U16" s="75"/>
      <c r="V16" s="75"/>
      <c r="W16" s="63"/>
      <c r="X16" s="63"/>
      <c r="Y16" s="63"/>
      <c r="Z16" s="63"/>
    </row>
    <row r="17" ht="12.75" customHeight="1">
      <c r="A17" s="13"/>
      <c r="B17" s="47"/>
      <c r="C17" s="47"/>
      <c r="D17" s="81"/>
      <c r="E17" s="81"/>
      <c r="F17" s="81"/>
      <c r="G17" s="81"/>
      <c r="H17" s="82"/>
      <c r="I17" s="83"/>
      <c r="J17" s="84"/>
      <c r="K17" s="83"/>
      <c r="L17" s="83"/>
      <c r="M17" s="85"/>
      <c r="N17" s="83"/>
      <c r="O17" s="83"/>
      <c r="P17" s="83"/>
      <c r="Q17" s="83"/>
      <c r="R17" s="85"/>
      <c r="S17" s="83"/>
      <c r="T17" s="83"/>
      <c r="U17" s="83"/>
      <c r="V17" s="83"/>
      <c r="W17" s="13"/>
      <c r="X17" s="13"/>
      <c r="Y17" s="13"/>
      <c r="Z17" s="13"/>
    </row>
    <row r="18" ht="15.75" customHeight="1">
      <c r="A18" s="13"/>
      <c r="B18" s="47"/>
      <c r="C18" s="4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3"/>
      <c r="B19" s="86"/>
      <c r="C19" s="86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2">
    <mergeCell ref="I6:J6"/>
    <mergeCell ref="I7:J7"/>
    <mergeCell ref="I8:J8"/>
    <mergeCell ref="I9:J9"/>
    <mergeCell ref="B4:B5"/>
    <mergeCell ref="D4:D5"/>
    <mergeCell ref="H4:H5"/>
    <mergeCell ref="M4:M5"/>
    <mergeCell ref="R4:R5"/>
    <mergeCell ref="D6:D15"/>
    <mergeCell ref="F6:F9"/>
    <mergeCell ref="F14:F15"/>
  </mergeCells>
  <hyperlinks>
    <hyperlink display="'1'!A1" location="'1'!A1" ref="H14"/>
    <hyperlink display="грудень до грудня, %" location="null!A1" ref="I14"/>
    <hyperlink display="'2'!A1" location="'2'!A1" ref="H15"/>
    <hyperlink display="рік до попереднього року, %" location="null!A1" ref="I15"/>
    <hyperlink display="'3'!A1" location="'3'!A1" ref="H16"/>
  </hyperlinks>
  <printOptions/>
  <pageMargins bottom="0.07874015748031496" footer="0.0" header="0.0" left="0.5511811023622047" right="0.11811023622047245" top="0.03937007874015748"/>
  <pageSetup paperSize="9" orientation="landscape"/>
  <headerFooter>
    <oddFooter>&amp;R&amp;D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48.71"/>
    <col customWidth="1" min="3" max="7" width="10.71"/>
  </cols>
  <sheetData>
    <row r="1" ht="12.75" customHeight="1">
      <c r="A1" s="87" t="s">
        <v>8</v>
      </c>
      <c r="B1" s="88"/>
    </row>
    <row r="2" ht="15.75" customHeight="1"/>
    <row r="3" ht="32.25" customHeight="1"/>
    <row r="4" ht="31.5" customHeight="1">
      <c r="A4" s="89"/>
      <c r="B4" s="89"/>
      <c r="C4" s="89">
        <v>44016.0</v>
      </c>
      <c r="D4" s="89">
        <v>44381.0</v>
      </c>
      <c r="E4" s="89">
        <v>44746.0</v>
      </c>
      <c r="F4" s="89">
        <v>45111.0</v>
      </c>
      <c r="G4" s="89">
        <v>45477.0</v>
      </c>
    </row>
    <row r="5" ht="12.75" customHeight="1">
      <c r="A5" s="90" t="str">
        <f>IF('0'!A1=1,"Індекс споживчих цін (грудень до грудня попереднього року, %)","Consumer price indices (December to December of the previous year, %)")</f>
        <v>Індекс споживчих цін (грудень до грудня попереднього року, %)</v>
      </c>
      <c r="B5" s="91"/>
      <c r="C5" s="92">
        <v>5.0</v>
      </c>
      <c r="D5" s="92">
        <v>10.0</v>
      </c>
      <c r="E5" s="92">
        <v>26.599999999999994</v>
      </c>
      <c r="F5" s="92">
        <v>5.1</v>
      </c>
      <c r="G5" s="92">
        <v>12.0</v>
      </c>
    </row>
    <row r="6" ht="12.75" customHeight="1">
      <c r="A6" s="93" t="str">
        <f>IF('0'!A1=1,"ТОВАРНІ ГРУПИ*","PRODUCTS GROUPS*")</f>
        <v>ТОВАРНІ ГРУПИ*</v>
      </c>
      <c r="B6" s="94" t="str">
        <f>IF('0'!A1=1,"Продукти харчування та безалкогольні напої","Food  and non-alcoholic beverages")</f>
        <v>Продукти харчування та безалкогольні напої</v>
      </c>
      <c r="C6" s="95">
        <v>4.9</v>
      </c>
      <c r="D6" s="95">
        <v>12.7</v>
      </c>
      <c r="E6" s="95">
        <v>34.400000000000006</v>
      </c>
      <c r="F6" s="95">
        <v>4.0</v>
      </c>
      <c r="G6" s="95">
        <v>14.1</v>
      </c>
    </row>
    <row r="7" ht="12.75" customHeight="1">
      <c r="A7" s="96"/>
      <c r="B7" s="94" t="str">
        <f>IF('0'!A1=1,"Алкогольні напої, тютюнові вироби","Alcoholic beverages, tobacco")</f>
        <v>Алкогольні напої, тютюнові вироби</v>
      </c>
      <c r="C7" s="95">
        <v>9.2</v>
      </c>
      <c r="D7" s="95">
        <v>9.4</v>
      </c>
      <c r="E7" s="95">
        <v>22.700000000000003</v>
      </c>
      <c r="F7" s="95">
        <v>9.6</v>
      </c>
      <c r="G7" s="95">
        <v>13.2</v>
      </c>
    </row>
    <row r="8" ht="45.0" customHeight="1">
      <c r="A8" s="96"/>
      <c r="B8" s="94" t="str">
        <f>IF('0'!A1=1,"Одяг і взуття","Clothing and footwear")</f>
        <v>Одяг і взуття</v>
      </c>
      <c r="C8" s="95">
        <v>-7.3</v>
      </c>
      <c r="D8" s="95">
        <v>-3.5</v>
      </c>
      <c r="E8" s="95">
        <v>2.4000000000000057</v>
      </c>
      <c r="F8" s="95">
        <v>-6.3</v>
      </c>
      <c r="G8" s="95">
        <v>-4.3</v>
      </c>
    </row>
    <row r="9" ht="12.75" customHeight="1">
      <c r="A9" s="96"/>
      <c r="B9" s="94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9" s="95">
        <v>13.6</v>
      </c>
      <c r="D9" s="95">
        <v>9.8</v>
      </c>
      <c r="E9" s="95">
        <v>6.0</v>
      </c>
      <c r="F9" s="95">
        <v>12.8</v>
      </c>
      <c r="G9" s="95">
        <v>18.9</v>
      </c>
    </row>
    <row r="10" ht="12.75" customHeight="1">
      <c r="A10" s="96"/>
      <c r="B10" s="94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10" s="95">
        <v>0.5</v>
      </c>
      <c r="D10" s="95">
        <v>4.2</v>
      </c>
      <c r="E10" s="95">
        <v>26.5</v>
      </c>
      <c r="F10" s="95">
        <v>0.7</v>
      </c>
      <c r="G10" s="95">
        <v>2.1</v>
      </c>
    </row>
    <row r="11" ht="12.75" customHeight="1">
      <c r="A11" s="96"/>
      <c r="B11" s="94" t="str">
        <f>IF('0'!A1=1,"Охорона здоров’я","Health")</f>
        <v>Охорона здоров’я</v>
      </c>
      <c r="C11" s="95">
        <v>7.7</v>
      </c>
      <c r="D11" s="95">
        <v>6.1</v>
      </c>
      <c r="E11" s="95">
        <v>19.900000000000006</v>
      </c>
      <c r="F11" s="95">
        <v>8.7</v>
      </c>
      <c r="G11" s="95">
        <v>13.2</v>
      </c>
    </row>
    <row r="12" ht="12.75" customHeight="1">
      <c r="A12" s="96"/>
      <c r="B12" s="94" t="str">
        <f>IF('0'!A1=1,"Транспорт","Transport")</f>
        <v>Транспорт</v>
      </c>
      <c r="C12" s="95">
        <v>2.7</v>
      </c>
      <c r="D12" s="95">
        <v>11.1</v>
      </c>
      <c r="E12" s="95">
        <v>42.900000000000006</v>
      </c>
      <c r="F12" s="95">
        <v>3.2</v>
      </c>
      <c r="G12" s="95">
        <v>7.1</v>
      </c>
    </row>
    <row r="13" ht="12.75" customHeight="1">
      <c r="A13" s="96"/>
      <c r="B13" s="94" t="str">
        <f>IF('0'!A1=1,"Зв’язок","Communication")</f>
        <v>Зв’язок</v>
      </c>
      <c r="C13" s="95">
        <v>4.1</v>
      </c>
      <c r="D13" s="95">
        <v>7.4</v>
      </c>
      <c r="E13" s="95">
        <v>13.400000000000006</v>
      </c>
      <c r="F13" s="95">
        <v>1.5</v>
      </c>
      <c r="G13" s="95">
        <v>9.1</v>
      </c>
    </row>
    <row r="14" ht="12.75" customHeight="1">
      <c r="A14" s="96"/>
      <c r="B14" s="94" t="str">
        <f>IF('0'!A1=1,"Відпочинок і культура","Recreation and culture")</f>
        <v>Відпочинок і культура</v>
      </c>
      <c r="C14" s="95">
        <v>0.1</v>
      </c>
      <c r="D14" s="95">
        <v>5.0</v>
      </c>
      <c r="E14" s="95">
        <v>15.900000000000006</v>
      </c>
      <c r="F14" s="95">
        <v>-1.1</v>
      </c>
      <c r="G14" s="95">
        <v>1.0</v>
      </c>
    </row>
    <row r="15" ht="12.75" customHeight="1">
      <c r="A15" s="96"/>
      <c r="B15" s="94" t="str">
        <f>IF('0'!A1=1,"Освіта","Education")</f>
        <v>Освіта</v>
      </c>
      <c r="C15" s="95">
        <v>13.9</v>
      </c>
      <c r="D15" s="95">
        <v>17.0</v>
      </c>
      <c r="E15" s="95">
        <v>9.799999999999997</v>
      </c>
      <c r="F15" s="95">
        <v>12.8</v>
      </c>
      <c r="G15" s="95">
        <v>12.0</v>
      </c>
    </row>
    <row r="16" ht="15.0" customHeight="1">
      <c r="A16" s="96"/>
      <c r="B16" s="94" t="str">
        <f>IF('0'!A1=1,"Ресторани та готелі","Restaurants and hotels")</f>
        <v>Ресторани та готелі</v>
      </c>
      <c r="C16" s="95">
        <v>3.7</v>
      </c>
      <c r="D16" s="95">
        <v>9.0</v>
      </c>
      <c r="E16" s="95">
        <v>22.5</v>
      </c>
      <c r="F16" s="95">
        <v>13.0</v>
      </c>
      <c r="G16" s="95">
        <v>13.2</v>
      </c>
    </row>
    <row r="17" ht="15.0" customHeight="1">
      <c r="A17" s="97"/>
      <c r="B17" s="98" t="str">
        <f>IF('0'!A1=1,"Різні товари та послуги","Miscellaneous goods and services")</f>
        <v>Різні товари та послуги</v>
      </c>
      <c r="C17" s="99">
        <v>6.0</v>
      </c>
      <c r="D17" s="99">
        <v>9.1</v>
      </c>
      <c r="E17" s="99">
        <v>17.799999999999997</v>
      </c>
      <c r="F17" s="99">
        <v>11.3</v>
      </c>
      <c r="G17" s="99">
        <v>9.7</v>
      </c>
    </row>
    <row r="18" ht="15.0" customHeight="1">
      <c r="A18" s="100"/>
      <c r="B18" s="101" t="str">
        <f>IF('0'!A1=1,"Дніпропетровська","Dnipropetrovsk")</f>
        <v>Дніпропетровська</v>
      </c>
      <c r="C18" s="102">
        <v>4.5</v>
      </c>
      <c r="D18" s="102">
        <v>9.599999999999994</v>
      </c>
      <c r="E18" s="102">
        <v>25.299999999999997</v>
      </c>
      <c r="F18" s="102">
        <v>4.700000000000003</v>
      </c>
      <c r="G18" s="102">
        <v>11.200000000000003</v>
      </c>
    </row>
    <row r="19" ht="15.0" customHeight="1">
      <c r="A19" s="100"/>
      <c r="B19" s="101" t="str">
        <f>IF('0'!A1=1,"Львівська","Lviv")</f>
        <v>Львівська</v>
      </c>
      <c r="C19" s="102">
        <v>5.299999999999997</v>
      </c>
      <c r="D19" s="102">
        <v>8.900000000000006</v>
      </c>
      <c r="E19" s="102">
        <v>26.400000000000006</v>
      </c>
      <c r="F19" s="102">
        <v>5.0</v>
      </c>
      <c r="G19" s="102">
        <v>11.799999999999997</v>
      </c>
    </row>
    <row r="20" ht="15.0" customHeight="1">
      <c r="A20" s="100"/>
      <c r="B20" s="101" t="str">
        <f>IF('0'!A1=1,"Одеська","Odesa")</f>
        <v>Одеська</v>
      </c>
      <c r="C20" s="102">
        <v>4.400000000000006</v>
      </c>
      <c r="D20" s="102">
        <v>10.400000000000006</v>
      </c>
      <c r="E20" s="102">
        <v>25.200000000000003</v>
      </c>
      <c r="F20" s="102">
        <v>4.0</v>
      </c>
      <c r="G20" s="102">
        <v>11.599999999999994</v>
      </c>
    </row>
    <row r="21" ht="15.0" customHeight="1">
      <c r="A21" s="100"/>
      <c r="B21" s="101" t="str">
        <f>IF('0'!A1=1,"Харківська","Kharkiv")</f>
        <v>Харківська</v>
      </c>
      <c r="C21" s="102">
        <v>5.200000000000003</v>
      </c>
      <c r="D21" s="102">
        <v>10.099999999999994</v>
      </c>
      <c r="E21" s="102">
        <v>25.299999999999997</v>
      </c>
      <c r="F21" s="102">
        <v>5.5</v>
      </c>
      <c r="G21" s="102">
        <v>12.0</v>
      </c>
    </row>
    <row r="22" ht="15.0" customHeight="1">
      <c r="A22" s="100"/>
      <c r="B22" s="101" t="str">
        <f>IF('0'!A1=1,"м. Київ","Kyiv city")</f>
        <v>м. Київ</v>
      </c>
      <c r="C22" s="102">
        <v>5.799999999999997</v>
      </c>
      <c r="D22" s="102">
        <v>9.700000000000003</v>
      </c>
      <c r="E22" s="102">
        <v>27.400000000000006</v>
      </c>
      <c r="F22" s="102">
        <v>6.299999999999997</v>
      </c>
      <c r="G22" s="102">
        <v>13.5</v>
      </c>
    </row>
    <row r="23" ht="12.75" customHeight="1">
      <c r="A23" s="13"/>
      <c r="B23" s="103"/>
    </row>
    <row r="24" ht="84.0" customHeight="1">
      <c r="A24" s="104" t="str">
        <f>IF('0'!A1=1,"* Починаючи з  2014 року дані наведено без урахування тимчасово окупованої території Автономної Республіки Крим, м. Севастополя. Починаючи з 2015 року також без частини тимчасово окупованих територій у Донецькій та Луганській областях.","* Since 2014 data are presented excluding the temporarily occupied territories, the Autonomous Republic of Crimea and the city of Sevastopol. Since 2015 also exclude a part of temporarily occupied territories in the Donetsk and Luhansk regions.")</f>
        <v>* Починаючи з  2014 року дані наведено без урахування тимчасово окупованої території Автономної Республіки Крим, м. Севастополя. Починаючи з 2015 року також без частини тимчасово окупованих територій у Донецькій та Луганській областях.</v>
      </c>
    </row>
    <row r="25" ht="12.75" customHeight="1">
      <c r="A25" s="103"/>
      <c r="B25" s="103"/>
    </row>
    <row r="26" ht="12.75" customHeight="1">
      <c r="A26" s="13"/>
      <c r="B26" s="103"/>
    </row>
    <row r="27" ht="12.75" customHeight="1">
      <c r="A27" s="13"/>
      <c r="B27" s="103"/>
    </row>
    <row r="28" ht="12.75" customHeight="1">
      <c r="A28" s="13"/>
      <c r="B28" s="105"/>
    </row>
    <row r="29" ht="12.75" customHeight="1">
      <c r="A29" s="13"/>
      <c r="B29" s="103"/>
    </row>
    <row r="30" ht="12.75" customHeight="1">
      <c r="A30" s="13"/>
      <c r="B30" s="103"/>
    </row>
    <row r="31" ht="12.75" customHeight="1">
      <c r="A31" s="13"/>
      <c r="B31" s="103"/>
    </row>
    <row r="32" ht="12.75" customHeight="1">
      <c r="A32" s="13"/>
      <c r="B32" s="103"/>
    </row>
    <row r="33" ht="12.75" customHeight="1">
      <c r="A33" s="13"/>
      <c r="B33" s="103"/>
    </row>
    <row r="34" ht="12.75" customHeight="1">
      <c r="A34" s="13"/>
      <c r="B34" s="103"/>
    </row>
    <row r="35" ht="12.75" customHeight="1">
      <c r="A35" s="13"/>
      <c r="B35" s="103"/>
    </row>
    <row r="36" ht="12.75" customHeight="1">
      <c r="A36" s="13"/>
      <c r="B36" s="103"/>
    </row>
    <row r="37" ht="12.75" customHeight="1">
      <c r="A37" s="13"/>
      <c r="B37" s="103"/>
    </row>
    <row r="38" ht="12.75" customHeight="1">
      <c r="A38" s="13"/>
      <c r="B38" s="103"/>
    </row>
    <row r="39" ht="12.75" customHeight="1">
      <c r="A39" s="13"/>
      <c r="B39" s="103"/>
    </row>
    <row r="40" ht="12.75" customHeight="1">
      <c r="A40" s="13"/>
      <c r="B40" s="103"/>
    </row>
    <row r="41" ht="12.75" customHeight="1">
      <c r="A41" s="13"/>
      <c r="B41" s="103"/>
    </row>
    <row r="42" ht="12.75" customHeight="1">
      <c r="A42" s="13"/>
      <c r="B42" s="103"/>
    </row>
    <row r="43" ht="12.75" customHeight="1">
      <c r="A43" s="13"/>
      <c r="B43" s="103"/>
    </row>
    <row r="44" ht="12.75" customHeight="1">
      <c r="A44" s="13"/>
      <c r="B44" s="103"/>
    </row>
    <row r="45" ht="12.75" customHeight="1">
      <c r="A45" s="13"/>
      <c r="B45" s="103"/>
    </row>
    <row r="46" ht="12.75" customHeight="1">
      <c r="A46" s="13"/>
      <c r="B46" s="103"/>
    </row>
    <row r="47" ht="12.75" customHeight="1">
      <c r="A47" s="13"/>
      <c r="B47" s="103"/>
    </row>
    <row r="48" ht="12.75" customHeight="1">
      <c r="A48" s="13"/>
      <c r="B48" s="103"/>
    </row>
    <row r="49" ht="12.75" customHeight="1">
      <c r="A49" s="13"/>
      <c r="B49" s="103"/>
    </row>
    <row r="50" ht="12.75" customHeight="1">
      <c r="A50" s="13"/>
      <c r="B50" s="103"/>
    </row>
    <row r="51" ht="12.75" customHeight="1">
      <c r="A51" s="13"/>
      <c r="B51" s="103"/>
    </row>
    <row r="52" ht="12.75" customHeight="1">
      <c r="A52" s="13"/>
      <c r="B52" s="103"/>
    </row>
    <row r="53" ht="12.75" customHeight="1">
      <c r="A53" s="13"/>
      <c r="B53" s="103"/>
    </row>
    <row r="54" ht="12.75" customHeight="1">
      <c r="A54" s="13"/>
      <c r="B54" s="103"/>
    </row>
    <row r="55" ht="12.75" customHeight="1">
      <c r="A55" s="13"/>
      <c r="B55" s="103"/>
    </row>
    <row r="56" ht="12.75" customHeight="1">
      <c r="A56" s="13"/>
      <c r="B56" s="103"/>
    </row>
    <row r="57" ht="12.75" customHeight="1">
      <c r="A57" s="13"/>
      <c r="B57" s="103"/>
    </row>
    <row r="58" ht="12.75" customHeight="1">
      <c r="A58" s="13"/>
      <c r="B58" s="103"/>
    </row>
    <row r="59" ht="12.75" customHeight="1">
      <c r="A59" s="13"/>
      <c r="B59" s="103"/>
    </row>
    <row r="60" ht="12.75" customHeight="1">
      <c r="A60" s="13"/>
      <c r="B60" s="103"/>
    </row>
    <row r="61" ht="12.75" customHeight="1">
      <c r="A61" s="13"/>
      <c r="B61" s="103"/>
    </row>
    <row r="62" ht="12.75" customHeight="1">
      <c r="A62" s="13"/>
      <c r="B62" s="103"/>
    </row>
    <row r="63" ht="12.75" customHeight="1">
      <c r="A63" s="13"/>
      <c r="B63" s="103"/>
    </row>
    <row r="64" ht="12.75" customHeight="1">
      <c r="A64" s="13"/>
      <c r="B64" s="103"/>
    </row>
    <row r="65" ht="12.75" customHeight="1">
      <c r="A65" s="13"/>
      <c r="B65" s="103"/>
    </row>
    <row r="66" ht="12.75" customHeight="1">
      <c r="A66" s="13"/>
      <c r="B66" s="103"/>
    </row>
    <row r="67" ht="12.75" customHeight="1">
      <c r="A67" s="13"/>
      <c r="B67" s="103"/>
    </row>
    <row r="68" ht="12.75" customHeight="1">
      <c r="A68" s="13"/>
      <c r="B68" s="103"/>
    </row>
    <row r="69" ht="12.75" customHeight="1">
      <c r="A69" s="13"/>
      <c r="B69" s="103"/>
    </row>
    <row r="70" ht="12.75" customHeight="1">
      <c r="A70" s="13"/>
      <c r="B70" s="103"/>
    </row>
    <row r="71" ht="12.75" customHeight="1">
      <c r="A71" s="13"/>
      <c r="B71" s="103"/>
    </row>
    <row r="72" ht="12.75" customHeight="1">
      <c r="A72" s="13"/>
      <c r="B72" s="103"/>
    </row>
    <row r="73" ht="12.75" customHeight="1">
      <c r="A73" s="13"/>
      <c r="B73" s="103"/>
    </row>
    <row r="74" ht="12.75" customHeight="1">
      <c r="A74" s="13"/>
      <c r="B74" s="103"/>
    </row>
    <row r="75" ht="12.75" customHeight="1">
      <c r="A75" s="13"/>
      <c r="B75" s="103"/>
    </row>
    <row r="76" ht="12.75" customHeight="1">
      <c r="A76" s="13"/>
      <c r="B76" s="103"/>
    </row>
    <row r="77" ht="12.75" customHeight="1">
      <c r="A77" s="13"/>
      <c r="B77" s="103"/>
    </row>
    <row r="78" ht="12.75" customHeight="1">
      <c r="A78" s="13"/>
      <c r="B78" s="103"/>
    </row>
    <row r="79" ht="12.75" customHeight="1">
      <c r="A79" s="13"/>
      <c r="B79" s="103"/>
    </row>
    <row r="80" ht="12.75" customHeight="1">
      <c r="A80" s="13"/>
      <c r="B80" s="103"/>
    </row>
    <row r="81" ht="12.75" customHeight="1">
      <c r="A81" s="13"/>
      <c r="B81" s="103"/>
    </row>
    <row r="82" ht="12.75" customHeight="1">
      <c r="A82" s="13"/>
      <c r="B82" s="103"/>
    </row>
    <row r="83" ht="12.75" customHeight="1">
      <c r="A83" s="13"/>
      <c r="B83" s="103"/>
    </row>
    <row r="84" ht="12.75" customHeight="1">
      <c r="A84" s="13"/>
      <c r="B84" s="103"/>
    </row>
    <row r="85" ht="12.75" customHeight="1">
      <c r="A85" s="13"/>
      <c r="B85" s="103"/>
    </row>
    <row r="86" ht="12.75" customHeight="1">
      <c r="A86" s="13"/>
      <c r="B86" s="103"/>
    </row>
    <row r="87" ht="12.75" customHeight="1">
      <c r="A87" s="13"/>
      <c r="B87" s="103"/>
    </row>
    <row r="88" ht="12.75" customHeight="1">
      <c r="A88" s="13"/>
      <c r="B88" s="103"/>
    </row>
    <row r="89" ht="12.75" customHeight="1">
      <c r="A89" s="13"/>
      <c r="B89" s="103"/>
    </row>
    <row r="90" ht="12.75" customHeight="1">
      <c r="A90" s="13"/>
      <c r="B90" s="103"/>
    </row>
    <row r="91" ht="12.75" customHeight="1">
      <c r="A91" s="13"/>
      <c r="B91" s="103"/>
    </row>
    <row r="92" ht="12.75" customHeight="1">
      <c r="A92" s="13"/>
      <c r="B92" s="103"/>
    </row>
    <row r="93" ht="12.75" customHeight="1">
      <c r="A93" s="13"/>
      <c r="B93" s="103"/>
    </row>
    <row r="94" ht="12.75" customHeight="1">
      <c r="A94" s="13"/>
      <c r="B94" s="103"/>
    </row>
    <row r="95" ht="12.75" customHeight="1">
      <c r="A95" s="13"/>
      <c r="B95" s="103"/>
    </row>
    <row r="96" ht="12.75" customHeight="1">
      <c r="A96" s="13"/>
      <c r="B96" s="103"/>
    </row>
    <row r="97" ht="12.75" customHeight="1">
      <c r="A97" s="13"/>
      <c r="B97" s="103"/>
    </row>
    <row r="98" ht="12.75" customHeight="1">
      <c r="A98" s="13"/>
      <c r="B98" s="103"/>
    </row>
    <row r="99" ht="12.75" customHeight="1">
      <c r="A99" s="13"/>
      <c r="B99" s="103"/>
    </row>
    <row r="100" ht="12.75" customHeight="1">
      <c r="A100" s="13"/>
      <c r="B100" s="103"/>
    </row>
    <row r="101" ht="12.75" customHeight="1">
      <c r="A101" s="13"/>
      <c r="B101" s="103"/>
    </row>
    <row r="102" ht="12.75" customHeight="1">
      <c r="A102" s="13"/>
      <c r="B102" s="103"/>
    </row>
    <row r="103" ht="12.75" customHeight="1">
      <c r="A103" s="13"/>
      <c r="B103" s="103"/>
    </row>
    <row r="104" ht="12.75" customHeight="1">
      <c r="A104" s="13"/>
      <c r="B104" s="103"/>
    </row>
    <row r="105" ht="12.75" customHeight="1">
      <c r="A105" s="13"/>
      <c r="B105" s="103"/>
    </row>
    <row r="106" ht="12.75" customHeight="1">
      <c r="A106" s="13"/>
      <c r="B106" s="103"/>
    </row>
    <row r="107" ht="12.75" customHeight="1">
      <c r="A107" s="13"/>
      <c r="B107" s="103"/>
    </row>
    <row r="108" ht="12.75" customHeight="1">
      <c r="A108" s="13"/>
      <c r="B108" s="103"/>
    </row>
    <row r="109" ht="12.75" customHeight="1">
      <c r="A109" s="13"/>
      <c r="B109" s="103"/>
    </row>
    <row r="110" ht="12.75" customHeight="1">
      <c r="A110" s="13"/>
      <c r="B110" s="103"/>
    </row>
    <row r="111" ht="12.75" customHeight="1">
      <c r="A111" s="13"/>
      <c r="B111" s="103"/>
    </row>
    <row r="112" ht="12.75" customHeight="1">
      <c r="A112" s="13"/>
      <c r="B112" s="103"/>
    </row>
    <row r="113" ht="12.75" customHeight="1">
      <c r="A113" s="13"/>
      <c r="B113" s="103"/>
    </row>
    <row r="114" ht="12.75" customHeight="1">
      <c r="A114" s="13"/>
      <c r="B114" s="103"/>
    </row>
    <row r="115" ht="12.75" customHeight="1">
      <c r="A115" s="13"/>
      <c r="B115" s="103"/>
    </row>
    <row r="116" ht="12.75" customHeight="1">
      <c r="A116" s="13"/>
      <c r="B116" s="103"/>
    </row>
    <row r="117" ht="12.75" customHeight="1">
      <c r="A117" s="13"/>
      <c r="B117" s="103"/>
    </row>
    <row r="118" ht="12.75" customHeight="1">
      <c r="A118" s="13"/>
      <c r="B118" s="103"/>
    </row>
    <row r="119" ht="12.75" customHeight="1">
      <c r="A119" s="13"/>
      <c r="B119" s="103"/>
    </row>
    <row r="120" ht="12.75" customHeight="1">
      <c r="A120" s="13"/>
      <c r="B120" s="103"/>
    </row>
    <row r="121" ht="12.75" customHeight="1">
      <c r="A121" s="13"/>
      <c r="B121" s="103"/>
    </row>
    <row r="122" ht="12.75" customHeight="1">
      <c r="A122" s="13"/>
      <c r="B122" s="103"/>
    </row>
    <row r="123" ht="12.75" customHeight="1">
      <c r="A123" s="13"/>
      <c r="B123" s="103"/>
    </row>
    <row r="124" ht="12.75" customHeight="1">
      <c r="A124" s="13"/>
      <c r="B124" s="103"/>
    </row>
    <row r="125" ht="12.75" customHeight="1">
      <c r="A125" s="13"/>
      <c r="B125" s="103"/>
    </row>
    <row r="126" ht="12.75" customHeight="1">
      <c r="A126" s="13"/>
      <c r="B126" s="103"/>
    </row>
    <row r="127" ht="12.75" customHeight="1">
      <c r="A127" s="13"/>
      <c r="B127" s="103"/>
    </row>
    <row r="128" ht="12.75" customHeight="1">
      <c r="A128" s="13"/>
      <c r="B128" s="103"/>
    </row>
    <row r="129" ht="12.75" customHeight="1">
      <c r="A129" s="13"/>
      <c r="B129" s="103"/>
    </row>
    <row r="130" ht="12.75" customHeight="1">
      <c r="A130" s="13"/>
      <c r="B130" s="103"/>
    </row>
    <row r="131" ht="12.75" customHeight="1">
      <c r="A131" s="13"/>
      <c r="B131" s="103"/>
    </row>
    <row r="132" ht="12.75" customHeight="1">
      <c r="A132" s="13"/>
      <c r="B132" s="103"/>
    </row>
    <row r="133" ht="12.75" customHeight="1">
      <c r="A133" s="13"/>
      <c r="B133" s="103"/>
    </row>
    <row r="134" ht="12.75" customHeight="1">
      <c r="A134" s="13"/>
      <c r="B134" s="103"/>
    </row>
    <row r="135" ht="12.75" customHeight="1">
      <c r="A135" s="13"/>
      <c r="B135" s="103"/>
    </row>
    <row r="136" ht="12.75" customHeight="1">
      <c r="A136" s="13"/>
      <c r="B136" s="103"/>
    </row>
    <row r="137" ht="12.75" customHeight="1">
      <c r="A137" s="13"/>
      <c r="B137" s="103"/>
    </row>
    <row r="138" ht="12.75" customHeight="1">
      <c r="A138" s="13"/>
      <c r="B138" s="103"/>
    </row>
    <row r="139" ht="12.75" customHeight="1">
      <c r="A139" s="13"/>
      <c r="B139" s="103"/>
    </row>
    <row r="140" ht="12.75" customHeight="1">
      <c r="A140" s="13"/>
      <c r="B140" s="103"/>
    </row>
    <row r="141" ht="12.75" customHeight="1">
      <c r="A141" s="13"/>
      <c r="B141" s="103"/>
    </row>
    <row r="142" ht="12.75" customHeight="1">
      <c r="A142" s="13"/>
      <c r="B142" s="103"/>
    </row>
    <row r="143" ht="12.75" customHeight="1">
      <c r="A143" s="13"/>
      <c r="B143" s="103"/>
    </row>
    <row r="144" ht="12.75" customHeight="1">
      <c r="A144" s="13"/>
      <c r="B144" s="103"/>
    </row>
    <row r="145" ht="12.75" customHeight="1">
      <c r="A145" s="13"/>
      <c r="B145" s="103"/>
    </row>
    <row r="146" ht="12.75" customHeight="1">
      <c r="A146" s="13"/>
      <c r="B146" s="103"/>
    </row>
    <row r="147" ht="12.75" customHeight="1">
      <c r="A147" s="13"/>
      <c r="B147" s="103"/>
    </row>
    <row r="148" ht="12.75" customHeight="1">
      <c r="A148" s="13"/>
      <c r="B148" s="103"/>
    </row>
    <row r="149" ht="12.75" customHeight="1">
      <c r="A149" s="13"/>
      <c r="B149" s="103"/>
    </row>
    <row r="150" ht="12.75" customHeight="1">
      <c r="A150" s="13"/>
      <c r="B150" s="103"/>
    </row>
    <row r="151" ht="12.75" customHeight="1">
      <c r="A151" s="13"/>
      <c r="B151" s="103"/>
    </row>
    <row r="152" ht="12.75" customHeight="1">
      <c r="A152" s="13"/>
      <c r="B152" s="103"/>
    </row>
    <row r="153" ht="12.75" customHeight="1">
      <c r="A153" s="13"/>
      <c r="B153" s="103"/>
    </row>
    <row r="154" ht="12.75" customHeight="1">
      <c r="A154" s="13"/>
      <c r="B154" s="103"/>
    </row>
    <row r="155" ht="12.75" customHeight="1">
      <c r="A155" s="13"/>
      <c r="B155" s="103"/>
    </row>
    <row r="156" ht="12.75" customHeight="1">
      <c r="A156" s="13"/>
      <c r="B156" s="103"/>
    </row>
    <row r="157" ht="12.75" customHeight="1">
      <c r="A157" s="13"/>
      <c r="B157" s="103"/>
    </row>
    <row r="158" ht="12.75" customHeight="1">
      <c r="A158" s="13"/>
      <c r="B158" s="103"/>
    </row>
    <row r="159" ht="12.75" customHeight="1">
      <c r="A159" s="13"/>
      <c r="B159" s="103"/>
    </row>
    <row r="160" ht="12.75" customHeight="1">
      <c r="A160" s="13"/>
      <c r="B160" s="103"/>
    </row>
    <row r="161" ht="12.75" customHeight="1">
      <c r="A161" s="13"/>
      <c r="B161" s="103"/>
    </row>
    <row r="162" ht="12.75" customHeight="1">
      <c r="A162" s="13"/>
      <c r="B162" s="103"/>
    </row>
    <row r="163" ht="12.75" customHeight="1">
      <c r="A163" s="13"/>
      <c r="B163" s="103"/>
    </row>
    <row r="164" ht="12.75" customHeight="1">
      <c r="A164" s="13"/>
      <c r="B164" s="103"/>
    </row>
    <row r="165" ht="12.75" customHeight="1">
      <c r="A165" s="13"/>
      <c r="B165" s="103"/>
    </row>
    <row r="166" ht="12.75" customHeight="1">
      <c r="A166" s="13"/>
      <c r="B166" s="103"/>
    </row>
    <row r="167" ht="12.75" customHeight="1">
      <c r="A167" s="13"/>
      <c r="B167" s="103"/>
    </row>
    <row r="168" ht="12.75" customHeight="1">
      <c r="A168" s="13"/>
      <c r="B168" s="103"/>
    </row>
    <row r="169" ht="12.75" customHeight="1">
      <c r="A169" s="13"/>
      <c r="B169" s="103"/>
    </row>
    <row r="170" ht="12.75" customHeight="1">
      <c r="A170" s="13"/>
      <c r="B170" s="103"/>
    </row>
    <row r="171" ht="12.75" customHeight="1">
      <c r="A171" s="13"/>
      <c r="B171" s="103"/>
    </row>
    <row r="172" ht="12.75" customHeight="1">
      <c r="A172" s="13"/>
      <c r="B172" s="103"/>
    </row>
    <row r="173" ht="12.75" customHeight="1">
      <c r="A173" s="13"/>
      <c r="B173" s="103"/>
    </row>
    <row r="174" ht="12.75" customHeight="1">
      <c r="A174" s="13"/>
      <c r="B174" s="103"/>
    </row>
    <row r="175" ht="12.75" customHeight="1">
      <c r="A175" s="13"/>
      <c r="B175" s="103"/>
    </row>
    <row r="176" ht="12.75" customHeight="1">
      <c r="A176" s="13"/>
      <c r="B176" s="103"/>
    </row>
    <row r="177" ht="12.75" customHeight="1">
      <c r="A177" s="13"/>
      <c r="B177" s="103"/>
    </row>
    <row r="178" ht="12.75" customHeight="1">
      <c r="A178" s="13"/>
      <c r="B178" s="103"/>
    </row>
    <row r="179" ht="12.75" customHeight="1">
      <c r="A179" s="13"/>
      <c r="B179" s="103"/>
    </row>
    <row r="180" ht="12.75" customHeight="1">
      <c r="A180" s="13"/>
      <c r="B180" s="103"/>
    </row>
    <row r="181" ht="12.75" customHeight="1">
      <c r="A181" s="13"/>
      <c r="B181" s="103"/>
    </row>
    <row r="182" ht="12.75" customHeight="1">
      <c r="A182" s="13"/>
      <c r="B182" s="103"/>
    </row>
    <row r="183" ht="12.75" customHeight="1">
      <c r="A183" s="13"/>
      <c r="B183" s="103"/>
    </row>
    <row r="184" ht="12.75" customHeight="1">
      <c r="A184" s="13"/>
      <c r="B184" s="103"/>
    </row>
    <row r="185" ht="12.75" customHeight="1">
      <c r="A185" s="13"/>
      <c r="B185" s="103"/>
    </row>
    <row r="186" ht="12.75" customHeight="1">
      <c r="A186" s="13"/>
      <c r="B186" s="103"/>
    </row>
    <row r="187" ht="12.75" customHeight="1">
      <c r="A187" s="13"/>
      <c r="B187" s="103"/>
    </row>
    <row r="188" ht="12.75" customHeight="1">
      <c r="A188" s="13"/>
      <c r="B188" s="103"/>
    </row>
    <row r="189" ht="12.75" customHeight="1">
      <c r="A189" s="13"/>
      <c r="B189" s="103"/>
    </row>
    <row r="190" ht="12.75" customHeight="1">
      <c r="A190" s="13"/>
      <c r="B190" s="103"/>
    </row>
    <row r="191" ht="12.75" customHeight="1">
      <c r="A191" s="13"/>
      <c r="B191" s="103"/>
    </row>
    <row r="192" ht="12.75" customHeight="1">
      <c r="A192" s="13"/>
      <c r="B192" s="103"/>
    </row>
    <row r="193" ht="12.75" customHeight="1">
      <c r="A193" s="13"/>
      <c r="B193" s="103"/>
    </row>
    <row r="194" ht="12.75" customHeight="1">
      <c r="A194" s="13"/>
      <c r="B194" s="103"/>
    </row>
    <row r="195" ht="12.75" customHeight="1">
      <c r="A195" s="13"/>
      <c r="B195" s="103"/>
    </row>
    <row r="196" ht="12.75" customHeight="1">
      <c r="A196" s="13"/>
      <c r="B196" s="103"/>
    </row>
    <row r="197" ht="12.75" customHeight="1">
      <c r="A197" s="13"/>
      <c r="B197" s="103"/>
    </row>
    <row r="198" ht="12.75" customHeight="1">
      <c r="A198" s="13"/>
      <c r="B198" s="103"/>
    </row>
    <row r="199" ht="12.75" customHeight="1">
      <c r="A199" s="13"/>
      <c r="B199" s="103"/>
    </row>
    <row r="200" ht="12.75" customHeight="1">
      <c r="A200" s="13"/>
      <c r="B200" s="103"/>
    </row>
    <row r="201" ht="12.75" customHeight="1">
      <c r="A201" s="13"/>
      <c r="B201" s="103"/>
    </row>
    <row r="202" ht="12.75" customHeight="1">
      <c r="A202" s="13"/>
      <c r="B202" s="103"/>
    </row>
    <row r="203" ht="12.75" customHeight="1">
      <c r="A203" s="13"/>
      <c r="B203" s="103"/>
    </row>
    <row r="204" ht="12.75" customHeight="1">
      <c r="A204" s="13"/>
      <c r="B204" s="103"/>
    </row>
    <row r="205" ht="12.75" customHeight="1">
      <c r="A205" s="13"/>
      <c r="B205" s="103"/>
    </row>
    <row r="206" ht="12.75" customHeight="1">
      <c r="A206" s="13"/>
      <c r="B206" s="103"/>
    </row>
    <row r="207" ht="12.75" customHeight="1">
      <c r="A207" s="13"/>
      <c r="B207" s="103"/>
    </row>
    <row r="208" ht="12.75" customHeight="1">
      <c r="A208" s="13"/>
      <c r="B208" s="103"/>
    </row>
    <row r="209" ht="12.75" customHeight="1">
      <c r="A209" s="13"/>
      <c r="B209" s="103"/>
    </row>
    <row r="210" ht="12.75" customHeight="1">
      <c r="A210" s="13"/>
      <c r="B210" s="103"/>
    </row>
    <row r="211" ht="12.75" customHeight="1">
      <c r="A211" s="13"/>
      <c r="B211" s="103"/>
    </row>
    <row r="212" ht="12.75" customHeight="1">
      <c r="A212" s="13"/>
      <c r="B212" s="103"/>
    </row>
    <row r="213" ht="12.75" customHeight="1">
      <c r="A213" s="13"/>
      <c r="B213" s="103"/>
    </row>
    <row r="214" ht="12.75" customHeight="1">
      <c r="A214" s="13"/>
      <c r="B214" s="103"/>
    </row>
    <row r="215" ht="12.75" customHeight="1">
      <c r="A215" s="13"/>
      <c r="B215" s="103"/>
    </row>
    <row r="216" ht="12.75" customHeight="1">
      <c r="A216" s="13"/>
      <c r="B216" s="103"/>
    </row>
    <row r="217" ht="12.75" customHeight="1">
      <c r="A217" s="13"/>
      <c r="B217" s="103"/>
    </row>
    <row r="218" ht="12.75" customHeight="1">
      <c r="A218" s="13"/>
      <c r="B218" s="103"/>
    </row>
    <row r="219" ht="12.75" customHeight="1">
      <c r="A219" s="13"/>
      <c r="B219" s="103"/>
    </row>
    <row r="220" ht="12.75" customHeight="1">
      <c r="A220" s="13"/>
      <c r="B220" s="103"/>
    </row>
    <row r="221" ht="12.75" customHeight="1">
      <c r="A221" s="13"/>
      <c r="B221" s="103"/>
    </row>
    <row r="222" ht="12.75" customHeight="1">
      <c r="A222" s="13"/>
      <c r="B222" s="103"/>
    </row>
    <row r="223" ht="12.75" customHeight="1">
      <c r="A223" s="13"/>
      <c r="B223" s="103"/>
    </row>
    <row r="224" ht="12.75" customHeight="1">
      <c r="A224" s="13"/>
      <c r="B224" s="103"/>
    </row>
    <row r="225" ht="12.75" customHeight="1">
      <c r="A225" s="13"/>
      <c r="B225" s="103"/>
    </row>
    <row r="226" ht="12.75" customHeight="1">
      <c r="A226" s="13"/>
      <c r="B226" s="103"/>
    </row>
    <row r="227" ht="12.75" customHeight="1">
      <c r="A227" s="13"/>
      <c r="B227" s="103"/>
    </row>
    <row r="228" ht="12.75" customHeight="1">
      <c r="A228" s="13"/>
      <c r="B228" s="103"/>
    </row>
    <row r="229" ht="12.75" customHeight="1">
      <c r="A229" s="13"/>
      <c r="B229" s="103"/>
    </row>
    <row r="230" ht="12.75" customHeight="1">
      <c r="A230" s="13"/>
      <c r="B230" s="103"/>
    </row>
    <row r="231" ht="12.75" customHeight="1">
      <c r="A231" s="13"/>
      <c r="B231" s="103"/>
    </row>
    <row r="232" ht="12.75" customHeight="1">
      <c r="A232" s="13"/>
      <c r="B232" s="103"/>
    </row>
    <row r="233" ht="12.75" customHeight="1">
      <c r="A233" s="13"/>
      <c r="B233" s="103"/>
    </row>
    <row r="234" ht="12.75" customHeight="1">
      <c r="A234" s="13"/>
      <c r="B234" s="103"/>
    </row>
    <row r="235" ht="12.75" customHeight="1">
      <c r="A235" s="13"/>
      <c r="B235" s="103"/>
    </row>
    <row r="236" ht="12.75" customHeight="1">
      <c r="A236" s="13"/>
      <c r="B236" s="103"/>
    </row>
    <row r="237" ht="12.75" customHeight="1">
      <c r="A237" s="13"/>
      <c r="B237" s="103"/>
    </row>
    <row r="238" ht="12.75" customHeight="1">
      <c r="A238" s="13"/>
      <c r="B238" s="103"/>
    </row>
    <row r="239" ht="12.75" customHeight="1">
      <c r="A239" s="13"/>
      <c r="B239" s="103"/>
    </row>
    <row r="240" ht="12.75" customHeight="1">
      <c r="A240" s="13"/>
      <c r="B240" s="103"/>
    </row>
    <row r="241" ht="12.75" customHeight="1">
      <c r="A241" s="13"/>
      <c r="B241" s="103"/>
    </row>
    <row r="242" ht="12.75" customHeight="1">
      <c r="A242" s="13"/>
      <c r="B242" s="103"/>
    </row>
    <row r="243" ht="12.75" customHeight="1">
      <c r="A243" s="13"/>
      <c r="B243" s="103"/>
    </row>
    <row r="244" ht="12.75" customHeight="1">
      <c r="A244" s="13"/>
      <c r="B244" s="103"/>
    </row>
    <row r="245" ht="12.75" customHeight="1">
      <c r="A245" s="13"/>
      <c r="B245" s="103"/>
    </row>
    <row r="246" ht="12.75" customHeight="1">
      <c r="A246" s="13"/>
      <c r="B246" s="103"/>
    </row>
    <row r="247" ht="12.75" customHeight="1">
      <c r="A247" s="13"/>
      <c r="B247" s="103"/>
    </row>
    <row r="248" ht="12.75" customHeight="1">
      <c r="A248" s="13"/>
      <c r="B248" s="103"/>
    </row>
    <row r="249" ht="12.75" customHeight="1">
      <c r="A249" s="13"/>
      <c r="B249" s="103"/>
    </row>
    <row r="250" ht="12.75" customHeight="1">
      <c r="A250" s="13"/>
      <c r="B250" s="103"/>
    </row>
    <row r="251" ht="12.75" customHeight="1">
      <c r="A251" s="13"/>
      <c r="B251" s="103"/>
    </row>
    <row r="252" ht="12.75" customHeight="1">
      <c r="A252" s="13"/>
      <c r="B252" s="103"/>
    </row>
    <row r="253" ht="12.75" customHeight="1">
      <c r="A253" s="13"/>
      <c r="B253" s="103"/>
    </row>
    <row r="254" ht="12.75" customHeight="1">
      <c r="A254" s="13"/>
      <c r="B254" s="103"/>
    </row>
    <row r="255" ht="12.75" customHeight="1">
      <c r="A255" s="13"/>
      <c r="B255" s="103"/>
    </row>
    <row r="256" ht="12.75" customHeight="1">
      <c r="A256" s="13"/>
      <c r="B256" s="103"/>
    </row>
    <row r="257" ht="12.75" customHeight="1">
      <c r="A257" s="13"/>
      <c r="B257" s="103"/>
    </row>
    <row r="258" ht="12.75" customHeight="1">
      <c r="A258" s="13"/>
      <c r="B258" s="103"/>
    </row>
    <row r="259" ht="12.75" customHeight="1">
      <c r="A259" s="13"/>
      <c r="B259" s="103"/>
    </row>
    <row r="260" ht="12.75" customHeight="1">
      <c r="A260" s="13"/>
      <c r="B260" s="103"/>
    </row>
    <row r="261" ht="12.75" customHeight="1">
      <c r="A261" s="13"/>
      <c r="B261" s="103"/>
    </row>
    <row r="262" ht="12.75" customHeight="1">
      <c r="A262" s="13"/>
      <c r="B262" s="103"/>
    </row>
    <row r="263" ht="12.75" customHeight="1">
      <c r="A263" s="13"/>
      <c r="B263" s="103"/>
    </row>
    <row r="264" ht="12.75" customHeight="1">
      <c r="A264" s="13"/>
      <c r="B264" s="103"/>
    </row>
    <row r="265" ht="12.75" customHeight="1">
      <c r="A265" s="13"/>
      <c r="B265" s="103"/>
    </row>
    <row r="266" ht="12.75" customHeight="1">
      <c r="A266" s="13"/>
      <c r="B266" s="103"/>
    </row>
    <row r="267" ht="12.75" customHeight="1">
      <c r="A267" s="13"/>
      <c r="B267" s="103"/>
    </row>
    <row r="268" ht="12.75" customHeight="1">
      <c r="A268" s="13"/>
      <c r="B268" s="103"/>
    </row>
    <row r="269" ht="12.75" customHeight="1">
      <c r="A269" s="13"/>
      <c r="B269" s="103"/>
    </row>
    <row r="270" ht="12.75" customHeight="1">
      <c r="A270" s="13"/>
      <c r="B270" s="103"/>
    </row>
    <row r="271" ht="12.75" customHeight="1">
      <c r="A271" s="13"/>
      <c r="B271" s="103"/>
    </row>
    <row r="272" ht="12.75" customHeight="1">
      <c r="A272" s="13"/>
      <c r="B272" s="103"/>
    </row>
    <row r="273" ht="12.75" customHeight="1">
      <c r="A273" s="13"/>
      <c r="B273" s="103"/>
    </row>
    <row r="274" ht="12.75" customHeight="1">
      <c r="A274" s="13"/>
      <c r="B274" s="103"/>
    </row>
    <row r="275" ht="12.75" customHeight="1">
      <c r="A275" s="13"/>
      <c r="B275" s="103"/>
    </row>
    <row r="276" ht="12.75" customHeight="1">
      <c r="A276" s="13"/>
      <c r="B276" s="103"/>
    </row>
    <row r="277" ht="12.75" customHeight="1">
      <c r="A277" s="13"/>
      <c r="B277" s="103"/>
    </row>
    <row r="278" ht="12.75" customHeight="1">
      <c r="A278" s="13"/>
      <c r="B278" s="103"/>
    </row>
    <row r="279" ht="12.75" customHeight="1">
      <c r="A279" s="13"/>
      <c r="B279" s="103"/>
    </row>
    <row r="280" ht="12.75" customHeight="1">
      <c r="A280" s="13"/>
      <c r="B280" s="103"/>
    </row>
    <row r="281" ht="12.75" customHeight="1">
      <c r="A281" s="13"/>
      <c r="B281" s="103"/>
    </row>
    <row r="282" ht="12.75" customHeight="1">
      <c r="A282" s="13"/>
      <c r="B282" s="103"/>
    </row>
    <row r="283" ht="12.75" customHeight="1">
      <c r="A283" s="13"/>
      <c r="B283" s="103"/>
    </row>
    <row r="284" ht="12.75" customHeight="1">
      <c r="A284" s="13"/>
      <c r="B284" s="103"/>
    </row>
    <row r="285" ht="12.75" customHeight="1">
      <c r="A285" s="13"/>
      <c r="B285" s="103"/>
    </row>
    <row r="286" ht="12.75" customHeight="1">
      <c r="A286" s="13"/>
      <c r="B286" s="103"/>
    </row>
    <row r="287" ht="12.75" customHeight="1">
      <c r="A287" s="13"/>
      <c r="B287" s="103"/>
    </row>
    <row r="288" ht="12.75" customHeight="1">
      <c r="A288" s="13"/>
      <c r="B288" s="103"/>
    </row>
    <row r="289" ht="12.75" customHeight="1">
      <c r="A289" s="13"/>
      <c r="B289" s="103"/>
    </row>
    <row r="290" ht="12.75" customHeight="1">
      <c r="A290" s="13"/>
      <c r="B290" s="103"/>
    </row>
    <row r="291" ht="12.75" customHeight="1">
      <c r="A291" s="13"/>
      <c r="B291" s="103"/>
    </row>
    <row r="292" ht="12.75" customHeight="1">
      <c r="A292" s="13"/>
      <c r="B292" s="103"/>
    </row>
    <row r="293" ht="12.75" customHeight="1">
      <c r="A293" s="13"/>
      <c r="B293" s="103"/>
    </row>
    <row r="294" ht="12.75" customHeight="1">
      <c r="A294" s="13"/>
      <c r="B294" s="103"/>
    </row>
    <row r="295" ht="12.75" customHeight="1">
      <c r="A295" s="13"/>
      <c r="B295" s="103"/>
    </row>
    <row r="296" ht="12.75" customHeight="1">
      <c r="A296" s="13"/>
      <c r="B296" s="103"/>
    </row>
    <row r="297" ht="12.75" customHeight="1">
      <c r="A297" s="13"/>
      <c r="B297" s="103"/>
    </row>
    <row r="298" ht="12.75" customHeight="1">
      <c r="A298" s="13"/>
      <c r="B298" s="103"/>
    </row>
    <row r="299" ht="12.75" customHeight="1">
      <c r="A299" s="13"/>
      <c r="B299" s="103"/>
    </row>
    <row r="300" ht="12.75" customHeight="1">
      <c r="A300" s="13"/>
      <c r="B300" s="103"/>
    </row>
    <row r="301" ht="12.75" customHeight="1">
      <c r="A301" s="13"/>
      <c r="B301" s="103"/>
    </row>
    <row r="302" ht="12.75" customHeight="1">
      <c r="A302" s="13"/>
      <c r="B302" s="103"/>
    </row>
    <row r="303" ht="12.75" customHeight="1">
      <c r="A303" s="13"/>
      <c r="B303" s="103"/>
    </row>
    <row r="304" ht="12.75" customHeight="1">
      <c r="A304" s="13"/>
      <c r="B304" s="103"/>
    </row>
    <row r="305" ht="12.75" customHeight="1">
      <c r="A305" s="13"/>
      <c r="B305" s="103"/>
    </row>
    <row r="306" ht="12.75" customHeight="1">
      <c r="A306" s="13"/>
      <c r="B306" s="103"/>
    </row>
    <row r="307" ht="12.75" customHeight="1">
      <c r="A307" s="13"/>
      <c r="B307" s="103"/>
    </row>
    <row r="308" ht="12.75" customHeight="1">
      <c r="A308" s="13"/>
      <c r="B308" s="103"/>
    </row>
    <row r="309" ht="12.75" customHeight="1">
      <c r="A309" s="13"/>
      <c r="B309" s="103"/>
    </row>
    <row r="310" ht="12.75" customHeight="1">
      <c r="A310" s="13"/>
      <c r="B310" s="103"/>
    </row>
    <row r="311" ht="12.75" customHeight="1">
      <c r="A311" s="13"/>
      <c r="B311" s="103"/>
    </row>
    <row r="312" ht="12.75" customHeight="1">
      <c r="A312" s="13"/>
      <c r="B312" s="103"/>
    </row>
    <row r="313" ht="12.75" customHeight="1">
      <c r="A313" s="13"/>
      <c r="B313" s="103"/>
    </row>
    <row r="314" ht="12.75" customHeight="1">
      <c r="A314" s="13"/>
      <c r="B314" s="103"/>
    </row>
    <row r="315" ht="12.75" customHeight="1">
      <c r="A315" s="13"/>
      <c r="B315" s="103"/>
    </row>
    <row r="316" ht="12.75" customHeight="1">
      <c r="A316" s="13"/>
      <c r="B316" s="103"/>
    </row>
    <row r="317" ht="12.75" customHeight="1">
      <c r="A317" s="13"/>
      <c r="B317" s="103"/>
    </row>
    <row r="318" ht="12.75" customHeight="1">
      <c r="A318" s="13"/>
      <c r="B318" s="103"/>
    </row>
    <row r="319" ht="12.75" customHeight="1">
      <c r="A319" s="13"/>
      <c r="B319" s="103"/>
    </row>
    <row r="320" ht="12.75" customHeight="1">
      <c r="A320" s="13"/>
      <c r="B320" s="103"/>
    </row>
    <row r="321" ht="12.75" customHeight="1">
      <c r="A321" s="13"/>
      <c r="B321" s="103"/>
    </row>
    <row r="322" ht="12.75" customHeight="1">
      <c r="A322" s="13"/>
      <c r="B322" s="103"/>
    </row>
    <row r="323" ht="12.75" customHeight="1">
      <c r="A323" s="13"/>
      <c r="B323" s="103"/>
    </row>
    <row r="324" ht="12.75" customHeight="1">
      <c r="A324" s="13"/>
      <c r="B324" s="103"/>
    </row>
    <row r="325" ht="12.75" customHeight="1">
      <c r="A325" s="13"/>
      <c r="B325" s="103"/>
    </row>
    <row r="326" ht="12.75" customHeight="1">
      <c r="A326" s="13"/>
      <c r="B326" s="103"/>
    </row>
    <row r="327" ht="12.75" customHeight="1">
      <c r="A327" s="13"/>
      <c r="B327" s="103"/>
    </row>
    <row r="328" ht="12.75" customHeight="1">
      <c r="A328" s="13"/>
      <c r="B328" s="103"/>
    </row>
    <row r="329" ht="12.75" customHeight="1">
      <c r="A329" s="13"/>
      <c r="B329" s="103"/>
    </row>
    <row r="330" ht="12.75" customHeight="1">
      <c r="A330" s="13"/>
      <c r="B330" s="103"/>
    </row>
    <row r="331" ht="12.75" customHeight="1">
      <c r="A331" s="13"/>
      <c r="B331" s="103"/>
    </row>
    <row r="332" ht="12.75" customHeight="1">
      <c r="A332" s="13"/>
      <c r="B332" s="103"/>
    </row>
    <row r="333" ht="12.75" customHeight="1">
      <c r="A333" s="13"/>
      <c r="B333" s="103"/>
    </row>
    <row r="334" ht="12.75" customHeight="1">
      <c r="A334" s="13"/>
      <c r="B334" s="103"/>
    </row>
    <row r="335" ht="12.75" customHeight="1">
      <c r="A335" s="13"/>
      <c r="B335" s="103"/>
    </row>
    <row r="336" ht="12.75" customHeight="1">
      <c r="A336" s="13"/>
      <c r="B336" s="103"/>
    </row>
    <row r="337" ht="12.75" customHeight="1">
      <c r="A337" s="13"/>
      <c r="B337" s="103"/>
    </row>
    <row r="338" ht="12.75" customHeight="1">
      <c r="A338" s="13"/>
      <c r="B338" s="103"/>
    </row>
    <row r="339" ht="12.75" customHeight="1">
      <c r="A339" s="13"/>
      <c r="B339" s="103"/>
    </row>
    <row r="340" ht="12.75" customHeight="1">
      <c r="A340" s="13"/>
      <c r="B340" s="103"/>
    </row>
    <row r="341" ht="12.75" customHeight="1">
      <c r="A341" s="13"/>
      <c r="B341" s="103"/>
    </row>
    <row r="342" ht="12.75" customHeight="1">
      <c r="A342" s="13"/>
      <c r="B342" s="103"/>
    </row>
    <row r="343" ht="12.75" customHeight="1">
      <c r="A343" s="13"/>
      <c r="B343" s="103"/>
    </row>
    <row r="344" ht="12.75" customHeight="1">
      <c r="A344" s="13"/>
      <c r="B344" s="103"/>
    </row>
    <row r="345" ht="12.75" customHeight="1">
      <c r="A345" s="13"/>
      <c r="B345" s="103"/>
    </row>
    <row r="346" ht="12.75" customHeight="1">
      <c r="A346" s="13"/>
      <c r="B346" s="103"/>
    </row>
    <row r="347" ht="12.75" customHeight="1">
      <c r="A347" s="13"/>
      <c r="B347" s="103"/>
    </row>
    <row r="348" ht="12.75" customHeight="1">
      <c r="A348" s="13"/>
      <c r="B348" s="103"/>
    </row>
    <row r="349" ht="12.75" customHeight="1">
      <c r="A349" s="13"/>
      <c r="B349" s="103"/>
    </row>
    <row r="350" ht="12.75" customHeight="1">
      <c r="A350" s="13"/>
      <c r="B350" s="103"/>
    </row>
    <row r="351" ht="12.75" customHeight="1">
      <c r="A351" s="13"/>
      <c r="B351" s="103"/>
    </row>
    <row r="352" ht="12.75" customHeight="1">
      <c r="A352" s="13"/>
      <c r="B352" s="103"/>
    </row>
    <row r="353" ht="12.75" customHeight="1">
      <c r="A353" s="13"/>
      <c r="B353" s="103"/>
    </row>
    <row r="354" ht="12.75" customHeight="1">
      <c r="A354" s="13"/>
      <c r="B354" s="103"/>
    </row>
    <row r="355" ht="12.75" customHeight="1">
      <c r="A355" s="13"/>
      <c r="B355" s="103"/>
    </row>
    <row r="356" ht="12.75" customHeight="1">
      <c r="A356" s="13"/>
      <c r="B356" s="103"/>
    </row>
    <row r="357" ht="12.75" customHeight="1">
      <c r="A357" s="13"/>
      <c r="B357" s="103"/>
    </row>
    <row r="358" ht="12.75" customHeight="1">
      <c r="A358" s="13"/>
      <c r="B358" s="103"/>
    </row>
    <row r="359" ht="12.75" customHeight="1">
      <c r="A359" s="13"/>
      <c r="B359" s="103"/>
    </row>
    <row r="360" ht="12.75" customHeight="1">
      <c r="A360" s="13"/>
      <c r="B360" s="103"/>
    </row>
    <row r="361" ht="12.75" customHeight="1">
      <c r="A361" s="13"/>
      <c r="B361" s="103"/>
    </row>
    <row r="362" ht="12.75" customHeight="1">
      <c r="A362" s="13"/>
      <c r="B362" s="103"/>
    </row>
    <row r="363" ht="12.75" customHeight="1">
      <c r="A363" s="13"/>
      <c r="B363" s="103"/>
    </row>
    <row r="364" ht="12.75" customHeight="1">
      <c r="A364" s="13"/>
      <c r="B364" s="103"/>
    </row>
    <row r="365" ht="12.75" customHeight="1">
      <c r="A365" s="13"/>
      <c r="B365" s="103"/>
    </row>
    <row r="366" ht="12.75" customHeight="1">
      <c r="A366" s="13"/>
      <c r="B366" s="103"/>
    </row>
    <row r="367" ht="12.75" customHeight="1">
      <c r="A367" s="13"/>
      <c r="B367" s="103"/>
    </row>
    <row r="368" ht="12.75" customHeight="1">
      <c r="A368" s="13"/>
      <c r="B368" s="103"/>
    </row>
    <row r="369" ht="12.75" customHeight="1">
      <c r="A369" s="13"/>
      <c r="B369" s="103"/>
    </row>
    <row r="370" ht="12.75" customHeight="1">
      <c r="A370" s="13"/>
      <c r="B370" s="103"/>
    </row>
    <row r="371" ht="12.75" customHeight="1">
      <c r="A371" s="13"/>
      <c r="B371" s="103"/>
    </row>
    <row r="372" ht="12.75" customHeight="1">
      <c r="A372" s="13"/>
      <c r="B372" s="103"/>
    </row>
    <row r="373" ht="12.75" customHeight="1">
      <c r="A373" s="13"/>
      <c r="B373" s="103"/>
    </row>
    <row r="374" ht="12.75" customHeight="1">
      <c r="A374" s="13"/>
      <c r="B374" s="103"/>
    </row>
    <row r="375" ht="12.75" customHeight="1">
      <c r="A375" s="13"/>
      <c r="B375" s="103"/>
    </row>
    <row r="376" ht="12.75" customHeight="1">
      <c r="A376" s="13"/>
      <c r="B376" s="103"/>
    </row>
    <row r="377" ht="12.75" customHeight="1">
      <c r="A377" s="13"/>
      <c r="B377" s="103"/>
    </row>
    <row r="378" ht="12.75" customHeight="1">
      <c r="A378" s="13"/>
      <c r="B378" s="103"/>
    </row>
    <row r="379" ht="12.75" customHeight="1">
      <c r="A379" s="13"/>
      <c r="B379" s="103"/>
    </row>
    <row r="380" ht="12.75" customHeight="1">
      <c r="A380" s="13"/>
      <c r="B380" s="103"/>
    </row>
    <row r="381" ht="12.75" customHeight="1">
      <c r="A381" s="13"/>
      <c r="B381" s="103"/>
    </row>
    <row r="382" ht="12.75" customHeight="1">
      <c r="A382" s="13"/>
      <c r="B382" s="103"/>
    </row>
    <row r="383" ht="12.75" customHeight="1">
      <c r="A383" s="13"/>
      <c r="B383" s="103"/>
    </row>
    <row r="384" ht="12.75" customHeight="1">
      <c r="A384" s="13"/>
      <c r="B384" s="103"/>
    </row>
    <row r="385" ht="12.75" customHeight="1">
      <c r="A385" s="13"/>
      <c r="B385" s="103"/>
    </row>
    <row r="386" ht="12.75" customHeight="1">
      <c r="A386" s="13"/>
      <c r="B386" s="103"/>
    </row>
    <row r="387" ht="12.75" customHeight="1">
      <c r="A387" s="13"/>
      <c r="B387" s="103"/>
    </row>
    <row r="388" ht="12.75" customHeight="1">
      <c r="A388" s="13"/>
      <c r="B388" s="103"/>
    </row>
    <row r="389" ht="12.75" customHeight="1">
      <c r="A389" s="13"/>
      <c r="B389" s="103"/>
    </row>
    <row r="390" ht="12.75" customHeight="1">
      <c r="A390" s="13"/>
      <c r="B390" s="103"/>
    </row>
    <row r="391" ht="12.75" customHeight="1">
      <c r="A391" s="13"/>
      <c r="B391" s="103"/>
    </row>
    <row r="392" ht="12.75" customHeight="1">
      <c r="A392" s="13"/>
      <c r="B392" s="103"/>
    </row>
    <row r="393" ht="12.75" customHeight="1">
      <c r="A393" s="13"/>
      <c r="B393" s="103"/>
    </row>
    <row r="394" ht="12.75" customHeight="1">
      <c r="A394" s="13"/>
      <c r="B394" s="103"/>
    </row>
    <row r="395" ht="12.75" customHeight="1">
      <c r="A395" s="13"/>
      <c r="B395" s="103"/>
    </row>
    <row r="396" ht="12.75" customHeight="1">
      <c r="A396" s="13"/>
      <c r="B396" s="103"/>
    </row>
    <row r="397" ht="12.75" customHeight="1">
      <c r="A397" s="13"/>
      <c r="B397" s="103"/>
    </row>
    <row r="398" ht="12.75" customHeight="1">
      <c r="A398" s="13"/>
      <c r="B398" s="103"/>
    </row>
    <row r="399" ht="12.75" customHeight="1">
      <c r="A399" s="13"/>
      <c r="B399" s="103"/>
    </row>
    <row r="400" ht="12.75" customHeight="1">
      <c r="A400" s="13"/>
      <c r="B400" s="103"/>
    </row>
    <row r="401" ht="12.75" customHeight="1">
      <c r="A401" s="13"/>
      <c r="B401" s="103"/>
    </row>
    <row r="402" ht="12.75" customHeight="1">
      <c r="A402" s="13"/>
      <c r="B402" s="103"/>
    </row>
    <row r="403" ht="12.75" customHeight="1">
      <c r="A403" s="13"/>
      <c r="B403" s="103"/>
    </row>
    <row r="404" ht="12.75" customHeight="1">
      <c r="A404" s="13"/>
      <c r="B404" s="103"/>
    </row>
    <row r="405" ht="12.75" customHeight="1">
      <c r="A405" s="13"/>
      <c r="B405" s="103"/>
    </row>
    <row r="406" ht="12.75" customHeight="1">
      <c r="A406" s="13"/>
      <c r="B406" s="103"/>
    </row>
    <row r="407" ht="12.75" customHeight="1">
      <c r="A407" s="13"/>
      <c r="B407" s="103"/>
    </row>
    <row r="408" ht="12.75" customHeight="1">
      <c r="A408" s="13"/>
      <c r="B408" s="103"/>
    </row>
    <row r="409" ht="12.75" customHeight="1">
      <c r="A409" s="13"/>
      <c r="B409" s="103"/>
    </row>
    <row r="410" ht="12.75" customHeight="1">
      <c r="A410" s="13"/>
      <c r="B410" s="103"/>
    </row>
    <row r="411" ht="12.75" customHeight="1">
      <c r="A411" s="13"/>
      <c r="B411" s="103"/>
    </row>
    <row r="412" ht="12.75" customHeight="1">
      <c r="A412" s="13"/>
      <c r="B412" s="103"/>
    </row>
    <row r="413" ht="12.75" customHeight="1">
      <c r="A413" s="13"/>
      <c r="B413" s="103"/>
    </row>
    <row r="414" ht="12.75" customHeight="1">
      <c r="A414" s="13"/>
      <c r="B414" s="103"/>
    </row>
    <row r="415" ht="12.75" customHeight="1">
      <c r="A415" s="13"/>
      <c r="B415" s="103"/>
    </row>
    <row r="416" ht="12.75" customHeight="1">
      <c r="A416" s="13"/>
      <c r="B416" s="103"/>
    </row>
    <row r="417" ht="12.75" customHeight="1">
      <c r="A417" s="13"/>
      <c r="B417" s="103"/>
    </row>
    <row r="418" ht="12.75" customHeight="1">
      <c r="A418" s="13"/>
      <c r="B418" s="103"/>
    </row>
    <row r="419" ht="12.75" customHeight="1">
      <c r="A419" s="13"/>
      <c r="B419" s="103"/>
    </row>
    <row r="420" ht="12.75" customHeight="1">
      <c r="A420" s="13"/>
      <c r="B420" s="103"/>
    </row>
    <row r="421" ht="12.75" customHeight="1">
      <c r="A421" s="13"/>
      <c r="B421" s="103"/>
    </row>
    <row r="422" ht="12.75" customHeight="1">
      <c r="A422" s="13"/>
      <c r="B422" s="103"/>
    </row>
    <row r="423" ht="12.75" customHeight="1">
      <c r="A423" s="13"/>
      <c r="B423" s="103"/>
    </row>
    <row r="424" ht="12.75" customHeight="1">
      <c r="A424" s="13"/>
      <c r="B424" s="103"/>
    </row>
    <row r="425" ht="12.75" customHeight="1">
      <c r="A425" s="13"/>
      <c r="B425" s="103"/>
    </row>
    <row r="426" ht="12.75" customHeight="1">
      <c r="A426" s="13"/>
      <c r="B426" s="103"/>
    </row>
    <row r="427" ht="12.75" customHeight="1">
      <c r="A427" s="13"/>
      <c r="B427" s="103"/>
    </row>
    <row r="428" ht="12.75" customHeight="1">
      <c r="A428" s="13"/>
      <c r="B428" s="103"/>
    </row>
    <row r="429" ht="12.75" customHeight="1">
      <c r="A429" s="13"/>
      <c r="B429" s="103"/>
    </row>
    <row r="430" ht="12.75" customHeight="1">
      <c r="A430" s="13"/>
      <c r="B430" s="103"/>
    </row>
    <row r="431" ht="12.75" customHeight="1">
      <c r="A431" s="13"/>
      <c r="B431" s="103"/>
    </row>
    <row r="432" ht="12.75" customHeight="1">
      <c r="A432" s="13"/>
      <c r="B432" s="103"/>
    </row>
    <row r="433" ht="12.75" customHeight="1">
      <c r="A433" s="13"/>
      <c r="B433" s="103"/>
    </row>
    <row r="434" ht="12.75" customHeight="1">
      <c r="A434" s="13"/>
      <c r="B434" s="103"/>
    </row>
    <row r="435" ht="12.75" customHeight="1">
      <c r="A435" s="13"/>
      <c r="B435" s="103"/>
    </row>
    <row r="436" ht="12.75" customHeight="1">
      <c r="A436" s="13"/>
      <c r="B436" s="103"/>
    </row>
    <row r="437" ht="12.75" customHeight="1">
      <c r="A437" s="13"/>
      <c r="B437" s="103"/>
    </row>
    <row r="438" ht="12.75" customHeight="1">
      <c r="A438" s="13"/>
      <c r="B438" s="103"/>
    </row>
    <row r="439" ht="12.75" customHeight="1">
      <c r="A439" s="13"/>
      <c r="B439" s="103"/>
    </row>
    <row r="440" ht="12.75" customHeight="1">
      <c r="A440" s="13"/>
      <c r="B440" s="103"/>
    </row>
    <row r="441" ht="12.75" customHeight="1">
      <c r="A441" s="13"/>
      <c r="B441" s="103"/>
    </row>
    <row r="442" ht="12.75" customHeight="1">
      <c r="A442" s="13"/>
      <c r="B442" s="103"/>
    </row>
    <row r="443" ht="12.75" customHeight="1">
      <c r="A443" s="13"/>
      <c r="B443" s="103"/>
    </row>
    <row r="444" ht="12.75" customHeight="1">
      <c r="A444" s="13"/>
      <c r="B444" s="103"/>
    </row>
    <row r="445" ht="12.75" customHeight="1">
      <c r="A445" s="13"/>
      <c r="B445" s="103"/>
    </row>
    <row r="446" ht="12.75" customHeight="1">
      <c r="A446" s="13"/>
      <c r="B446" s="103"/>
    </row>
    <row r="447" ht="12.75" customHeight="1">
      <c r="A447" s="13"/>
      <c r="B447" s="103"/>
    </row>
    <row r="448" ht="12.75" customHeight="1">
      <c r="A448" s="13"/>
      <c r="B448" s="103"/>
    </row>
    <row r="449" ht="12.75" customHeight="1">
      <c r="A449" s="13"/>
      <c r="B449" s="103"/>
    </row>
    <row r="450" ht="12.75" customHeight="1">
      <c r="A450" s="13"/>
      <c r="B450" s="103"/>
    </row>
    <row r="451" ht="12.75" customHeight="1">
      <c r="A451" s="13"/>
      <c r="B451" s="103"/>
    </row>
    <row r="452" ht="12.75" customHeight="1">
      <c r="A452" s="13"/>
      <c r="B452" s="103"/>
    </row>
    <row r="453" ht="12.75" customHeight="1">
      <c r="A453" s="13"/>
      <c r="B453" s="103"/>
    </row>
    <row r="454" ht="12.75" customHeight="1">
      <c r="A454" s="13"/>
      <c r="B454" s="103"/>
    </row>
    <row r="455" ht="12.75" customHeight="1">
      <c r="A455" s="13"/>
      <c r="B455" s="103"/>
    </row>
    <row r="456" ht="12.75" customHeight="1">
      <c r="A456" s="13"/>
      <c r="B456" s="103"/>
    </row>
    <row r="457" ht="12.75" customHeight="1">
      <c r="A457" s="13"/>
      <c r="B457" s="103"/>
    </row>
    <row r="458" ht="12.75" customHeight="1">
      <c r="A458" s="13"/>
      <c r="B458" s="103"/>
    </row>
    <row r="459" ht="12.75" customHeight="1">
      <c r="A459" s="13"/>
      <c r="B459" s="103"/>
    </row>
    <row r="460" ht="12.75" customHeight="1">
      <c r="A460" s="13"/>
      <c r="B460" s="103"/>
    </row>
    <row r="461" ht="12.75" customHeight="1">
      <c r="A461" s="13"/>
      <c r="B461" s="103"/>
    </row>
    <row r="462" ht="12.75" customHeight="1">
      <c r="A462" s="13"/>
      <c r="B462" s="103"/>
    </row>
    <row r="463" ht="12.75" customHeight="1">
      <c r="A463" s="13"/>
      <c r="B463" s="103"/>
    </row>
    <row r="464" ht="12.75" customHeight="1">
      <c r="A464" s="13"/>
      <c r="B464" s="103"/>
    </row>
    <row r="465" ht="12.75" customHeight="1">
      <c r="A465" s="13"/>
      <c r="B465" s="103"/>
    </row>
    <row r="466" ht="12.75" customHeight="1">
      <c r="A466" s="13"/>
      <c r="B466" s="103"/>
    </row>
    <row r="467" ht="12.75" customHeight="1">
      <c r="A467" s="13"/>
      <c r="B467" s="103"/>
    </row>
    <row r="468" ht="12.75" customHeight="1">
      <c r="A468" s="13"/>
      <c r="B468" s="103"/>
    </row>
    <row r="469" ht="12.75" customHeight="1">
      <c r="A469" s="13"/>
      <c r="B469" s="103"/>
    </row>
    <row r="470" ht="12.75" customHeight="1">
      <c r="A470" s="13"/>
      <c r="B470" s="103"/>
    </row>
    <row r="471" ht="12.75" customHeight="1">
      <c r="A471" s="13"/>
      <c r="B471" s="103"/>
    </row>
    <row r="472" ht="12.75" customHeight="1">
      <c r="A472" s="13"/>
      <c r="B472" s="103"/>
    </row>
    <row r="473" ht="12.75" customHeight="1">
      <c r="A473" s="13"/>
      <c r="B473" s="103"/>
    </row>
    <row r="474" ht="12.75" customHeight="1">
      <c r="A474" s="13"/>
      <c r="B474" s="103"/>
    </row>
    <row r="475" ht="12.75" customHeight="1">
      <c r="A475" s="13"/>
      <c r="B475" s="103"/>
    </row>
    <row r="476" ht="12.75" customHeight="1">
      <c r="A476" s="13"/>
      <c r="B476" s="103"/>
    </row>
    <row r="477" ht="12.75" customHeight="1">
      <c r="A477" s="13"/>
      <c r="B477" s="103"/>
    </row>
    <row r="478" ht="12.75" customHeight="1">
      <c r="A478" s="13"/>
      <c r="B478" s="103"/>
    </row>
    <row r="479" ht="12.75" customHeight="1">
      <c r="A479" s="13"/>
      <c r="B479" s="103"/>
    </row>
    <row r="480" ht="12.75" customHeight="1">
      <c r="A480" s="13"/>
      <c r="B480" s="103"/>
    </row>
    <row r="481" ht="12.75" customHeight="1">
      <c r="A481" s="13"/>
      <c r="B481" s="103"/>
    </row>
    <row r="482" ht="12.75" customHeight="1">
      <c r="A482" s="13"/>
      <c r="B482" s="103"/>
    </row>
    <row r="483" ht="12.75" customHeight="1">
      <c r="A483" s="13"/>
      <c r="B483" s="103"/>
    </row>
    <row r="484" ht="12.75" customHeight="1">
      <c r="A484" s="13"/>
      <c r="B484" s="103"/>
    </row>
    <row r="485" ht="12.75" customHeight="1">
      <c r="A485" s="13"/>
      <c r="B485" s="103"/>
    </row>
    <row r="486" ht="12.75" customHeight="1">
      <c r="A486" s="13"/>
      <c r="B486" s="103"/>
    </row>
    <row r="487" ht="12.75" customHeight="1">
      <c r="A487" s="13"/>
      <c r="B487" s="103"/>
    </row>
    <row r="488" ht="12.75" customHeight="1">
      <c r="A488" s="13"/>
      <c r="B488" s="103"/>
    </row>
    <row r="489" ht="12.75" customHeight="1">
      <c r="A489" s="13"/>
      <c r="B489" s="103"/>
    </row>
    <row r="490" ht="12.75" customHeight="1">
      <c r="A490" s="13"/>
      <c r="B490" s="103"/>
    </row>
    <row r="491" ht="12.75" customHeight="1">
      <c r="A491" s="13"/>
      <c r="B491" s="103"/>
    </row>
    <row r="492" ht="12.75" customHeight="1">
      <c r="A492" s="13"/>
      <c r="B492" s="103"/>
    </row>
    <row r="493" ht="12.75" customHeight="1">
      <c r="A493" s="13"/>
      <c r="B493" s="103"/>
    </row>
    <row r="494" ht="12.75" customHeight="1">
      <c r="A494" s="13"/>
      <c r="B494" s="103"/>
    </row>
    <row r="495" ht="12.75" customHeight="1">
      <c r="A495" s="13"/>
      <c r="B495" s="103"/>
    </row>
    <row r="496" ht="12.75" customHeight="1">
      <c r="A496" s="13"/>
      <c r="B496" s="103"/>
    </row>
    <row r="497" ht="12.75" customHeight="1">
      <c r="A497" s="13"/>
      <c r="B497" s="103"/>
    </row>
    <row r="498" ht="12.75" customHeight="1">
      <c r="A498" s="13"/>
      <c r="B498" s="103"/>
    </row>
    <row r="499" ht="12.75" customHeight="1">
      <c r="A499" s="13"/>
      <c r="B499" s="103"/>
    </row>
    <row r="500" ht="12.75" customHeight="1">
      <c r="A500" s="13"/>
      <c r="B500" s="103"/>
    </row>
    <row r="501" ht="12.75" customHeight="1">
      <c r="A501" s="13"/>
      <c r="B501" s="103"/>
    </row>
    <row r="502" ht="12.75" customHeight="1">
      <c r="A502" s="13"/>
      <c r="B502" s="103"/>
    </row>
    <row r="503" ht="12.75" customHeight="1">
      <c r="A503" s="13"/>
      <c r="B503" s="103"/>
    </row>
    <row r="504" ht="12.75" customHeight="1">
      <c r="A504" s="13"/>
      <c r="B504" s="103"/>
    </row>
    <row r="505" ht="12.75" customHeight="1">
      <c r="A505" s="13"/>
      <c r="B505" s="103"/>
    </row>
    <row r="506" ht="12.75" customHeight="1">
      <c r="A506" s="13"/>
      <c r="B506" s="103"/>
    </row>
    <row r="507" ht="12.75" customHeight="1">
      <c r="A507" s="13"/>
      <c r="B507" s="103"/>
    </row>
    <row r="508" ht="12.75" customHeight="1">
      <c r="A508" s="13"/>
      <c r="B508" s="103"/>
    </row>
    <row r="509" ht="12.75" customHeight="1">
      <c r="A509" s="13"/>
      <c r="B509" s="103"/>
    </row>
    <row r="510" ht="12.75" customHeight="1">
      <c r="A510" s="13"/>
      <c r="B510" s="103"/>
    </row>
    <row r="511" ht="12.75" customHeight="1">
      <c r="A511" s="13"/>
      <c r="B511" s="103"/>
    </row>
    <row r="512" ht="12.75" customHeight="1">
      <c r="A512" s="13"/>
      <c r="B512" s="103"/>
    </row>
    <row r="513" ht="12.75" customHeight="1">
      <c r="A513" s="13"/>
      <c r="B513" s="103"/>
    </row>
    <row r="514" ht="12.75" customHeight="1">
      <c r="A514" s="13"/>
      <c r="B514" s="103"/>
    </row>
    <row r="515" ht="12.75" customHeight="1">
      <c r="A515" s="13"/>
      <c r="B515" s="103"/>
    </row>
    <row r="516" ht="12.75" customHeight="1">
      <c r="A516" s="13"/>
      <c r="B516" s="103"/>
    </row>
    <row r="517" ht="12.75" customHeight="1">
      <c r="A517" s="13"/>
      <c r="B517" s="103"/>
    </row>
    <row r="518" ht="12.75" customHeight="1">
      <c r="A518" s="13"/>
      <c r="B518" s="103"/>
    </row>
    <row r="519" ht="12.75" customHeight="1">
      <c r="A519" s="13"/>
      <c r="B519" s="103"/>
    </row>
    <row r="520" ht="12.75" customHeight="1">
      <c r="A520" s="13"/>
      <c r="B520" s="103"/>
    </row>
    <row r="521" ht="12.75" customHeight="1">
      <c r="A521" s="13"/>
      <c r="B521" s="103"/>
    </row>
    <row r="522" ht="12.75" customHeight="1">
      <c r="A522" s="13"/>
      <c r="B522" s="103"/>
    </row>
    <row r="523" ht="12.75" customHeight="1">
      <c r="A523" s="13"/>
      <c r="B523" s="103"/>
    </row>
    <row r="524" ht="12.75" customHeight="1">
      <c r="A524" s="13"/>
      <c r="B524" s="103"/>
    </row>
    <row r="525" ht="12.75" customHeight="1">
      <c r="A525" s="13"/>
      <c r="B525" s="103"/>
    </row>
    <row r="526" ht="12.75" customHeight="1">
      <c r="A526" s="13"/>
      <c r="B526" s="103"/>
    </row>
    <row r="527" ht="12.75" customHeight="1">
      <c r="A527" s="13"/>
      <c r="B527" s="103"/>
    </row>
    <row r="528" ht="12.75" customHeight="1">
      <c r="A528" s="13"/>
      <c r="B528" s="103"/>
    </row>
    <row r="529" ht="12.75" customHeight="1">
      <c r="A529" s="13"/>
      <c r="B529" s="103"/>
    </row>
    <row r="530" ht="12.75" customHeight="1">
      <c r="A530" s="13"/>
      <c r="B530" s="103"/>
    </row>
    <row r="531" ht="12.75" customHeight="1">
      <c r="A531" s="13"/>
      <c r="B531" s="103"/>
    </row>
    <row r="532" ht="12.75" customHeight="1">
      <c r="A532" s="13"/>
      <c r="B532" s="103"/>
    </row>
    <row r="533" ht="12.75" customHeight="1">
      <c r="A533" s="13"/>
      <c r="B533" s="103"/>
    </row>
    <row r="534" ht="12.75" customHeight="1">
      <c r="A534" s="13"/>
      <c r="B534" s="103"/>
    </row>
    <row r="535" ht="12.75" customHeight="1">
      <c r="A535" s="13"/>
      <c r="B535" s="103"/>
    </row>
    <row r="536" ht="12.75" customHeight="1">
      <c r="A536" s="13"/>
      <c r="B536" s="103"/>
    </row>
    <row r="537" ht="12.75" customHeight="1">
      <c r="A537" s="13"/>
      <c r="B537" s="103"/>
    </row>
    <row r="538" ht="12.75" customHeight="1">
      <c r="A538" s="13"/>
      <c r="B538" s="103"/>
    </row>
    <row r="539" ht="12.75" customHeight="1">
      <c r="A539" s="13"/>
      <c r="B539" s="103"/>
    </row>
    <row r="540" ht="12.75" customHeight="1">
      <c r="A540" s="13"/>
      <c r="B540" s="103"/>
    </row>
    <row r="541" ht="12.75" customHeight="1">
      <c r="A541" s="13"/>
      <c r="B541" s="103"/>
    </row>
    <row r="542" ht="12.75" customHeight="1">
      <c r="A542" s="13"/>
      <c r="B542" s="103"/>
    </row>
    <row r="543" ht="12.75" customHeight="1">
      <c r="A543" s="13"/>
      <c r="B543" s="103"/>
    </row>
    <row r="544" ht="12.75" customHeight="1">
      <c r="A544" s="13"/>
      <c r="B544" s="103"/>
    </row>
    <row r="545" ht="12.75" customHeight="1">
      <c r="A545" s="13"/>
      <c r="B545" s="103"/>
    </row>
    <row r="546" ht="12.75" customHeight="1">
      <c r="A546" s="13"/>
      <c r="B546" s="103"/>
    </row>
    <row r="547" ht="12.75" customHeight="1">
      <c r="A547" s="13"/>
      <c r="B547" s="103"/>
    </row>
    <row r="548" ht="12.75" customHeight="1">
      <c r="A548" s="13"/>
      <c r="B548" s="103"/>
    </row>
    <row r="549" ht="12.75" customHeight="1">
      <c r="A549" s="13"/>
      <c r="B549" s="103"/>
    </row>
    <row r="550" ht="12.75" customHeight="1">
      <c r="A550" s="13"/>
      <c r="B550" s="103"/>
    </row>
    <row r="551" ht="12.75" customHeight="1">
      <c r="A551" s="13"/>
      <c r="B551" s="103"/>
    </row>
    <row r="552" ht="12.75" customHeight="1">
      <c r="A552" s="13"/>
      <c r="B552" s="103"/>
    </row>
    <row r="553" ht="12.75" customHeight="1">
      <c r="A553" s="13"/>
      <c r="B553" s="103"/>
    </row>
    <row r="554" ht="12.75" customHeight="1">
      <c r="A554" s="13"/>
      <c r="B554" s="103"/>
    </row>
    <row r="555" ht="12.75" customHeight="1">
      <c r="A555" s="13"/>
      <c r="B555" s="103"/>
    </row>
    <row r="556" ht="12.75" customHeight="1">
      <c r="A556" s="13"/>
      <c r="B556" s="103"/>
    </row>
    <row r="557" ht="12.75" customHeight="1">
      <c r="A557" s="13"/>
      <c r="B557" s="103"/>
    </row>
    <row r="558" ht="12.75" customHeight="1">
      <c r="A558" s="13"/>
      <c r="B558" s="103"/>
    </row>
    <row r="559" ht="12.75" customHeight="1">
      <c r="A559" s="13"/>
      <c r="B559" s="103"/>
    </row>
    <row r="560" ht="12.75" customHeight="1">
      <c r="A560" s="13"/>
      <c r="B560" s="103"/>
    </row>
    <row r="561" ht="12.75" customHeight="1">
      <c r="A561" s="13"/>
      <c r="B561" s="103"/>
    </row>
    <row r="562" ht="12.75" customHeight="1">
      <c r="A562" s="13"/>
      <c r="B562" s="103"/>
    </row>
    <row r="563" ht="12.75" customHeight="1">
      <c r="A563" s="13"/>
      <c r="B563" s="103"/>
    </row>
    <row r="564" ht="12.75" customHeight="1">
      <c r="A564" s="13"/>
      <c r="B564" s="103"/>
    </row>
    <row r="565" ht="12.75" customHeight="1">
      <c r="A565" s="13"/>
      <c r="B565" s="103"/>
    </row>
    <row r="566" ht="12.75" customHeight="1">
      <c r="A566" s="13"/>
      <c r="B566" s="103"/>
    </row>
    <row r="567" ht="12.75" customHeight="1">
      <c r="A567" s="13"/>
      <c r="B567" s="103"/>
    </row>
    <row r="568" ht="12.75" customHeight="1">
      <c r="A568" s="13"/>
      <c r="B568" s="103"/>
    </row>
    <row r="569" ht="12.75" customHeight="1">
      <c r="A569" s="13"/>
      <c r="B569" s="103"/>
    </row>
    <row r="570" ht="12.75" customHeight="1">
      <c r="A570" s="13"/>
      <c r="B570" s="103"/>
    </row>
    <row r="571" ht="12.75" customHeight="1">
      <c r="A571" s="13"/>
      <c r="B571" s="103"/>
    </row>
    <row r="572" ht="12.75" customHeight="1">
      <c r="A572" s="13"/>
      <c r="B572" s="103"/>
    </row>
    <row r="573" ht="12.75" customHeight="1">
      <c r="A573" s="13"/>
      <c r="B573" s="103"/>
    </row>
    <row r="574" ht="12.75" customHeight="1">
      <c r="A574" s="13"/>
      <c r="B574" s="103"/>
    </row>
    <row r="575" ht="12.75" customHeight="1">
      <c r="A575" s="13"/>
      <c r="B575" s="103"/>
    </row>
    <row r="576" ht="12.75" customHeight="1">
      <c r="A576" s="13"/>
      <c r="B576" s="103"/>
    </row>
    <row r="577" ht="12.75" customHeight="1">
      <c r="A577" s="13"/>
      <c r="B577" s="103"/>
    </row>
    <row r="578" ht="12.75" customHeight="1">
      <c r="A578" s="13"/>
      <c r="B578" s="103"/>
    </row>
    <row r="579" ht="12.75" customHeight="1">
      <c r="A579" s="13"/>
      <c r="B579" s="103"/>
    </row>
    <row r="580" ht="12.75" customHeight="1">
      <c r="A580" s="13"/>
      <c r="B580" s="103"/>
    </row>
    <row r="581" ht="12.75" customHeight="1">
      <c r="A581" s="13"/>
      <c r="B581" s="103"/>
    </row>
    <row r="582" ht="12.75" customHeight="1">
      <c r="A582" s="13"/>
      <c r="B582" s="103"/>
    </row>
    <row r="583" ht="12.75" customHeight="1">
      <c r="A583" s="13"/>
      <c r="B583" s="103"/>
    </row>
    <row r="584" ht="12.75" customHeight="1">
      <c r="A584" s="13"/>
      <c r="B584" s="103"/>
    </row>
    <row r="585" ht="12.75" customHeight="1">
      <c r="A585" s="13"/>
      <c r="B585" s="103"/>
    </row>
    <row r="586" ht="12.75" customHeight="1">
      <c r="A586" s="13"/>
      <c r="B586" s="103"/>
    </row>
    <row r="587" ht="12.75" customHeight="1">
      <c r="A587" s="13"/>
      <c r="B587" s="103"/>
    </row>
    <row r="588" ht="12.75" customHeight="1">
      <c r="A588" s="13"/>
      <c r="B588" s="103"/>
    </row>
    <row r="589" ht="12.75" customHeight="1">
      <c r="A589" s="13"/>
      <c r="B589" s="103"/>
    </row>
    <row r="590" ht="12.75" customHeight="1">
      <c r="A590" s="13"/>
      <c r="B590" s="103"/>
    </row>
    <row r="591" ht="12.75" customHeight="1">
      <c r="A591" s="13"/>
      <c r="B591" s="103"/>
    </row>
    <row r="592" ht="12.75" customHeight="1">
      <c r="A592" s="13"/>
      <c r="B592" s="103"/>
    </row>
    <row r="593" ht="12.75" customHeight="1">
      <c r="A593" s="13"/>
      <c r="B593" s="103"/>
    </row>
    <row r="594" ht="12.75" customHeight="1">
      <c r="A594" s="13"/>
      <c r="B594" s="103"/>
    </row>
    <row r="595" ht="12.75" customHeight="1">
      <c r="A595" s="13"/>
      <c r="B595" s="103"/>
    </row>
    <row r="596" ht="12.75" customHeight="1">
      <c r="A596" s="13"/>
      <c r="B596" s="103"/>
    </row>
    <row r="597" ht="12.75" customHeight="1">
      <c r="A597" s="13"/>
      <c r="B597" s="103"/>
    </row>
    <row r="598" ht="12.75" customHeight="1">
      <c r="A598" s="13"/>
      <c r="B598" s="103"/>
    </row>
    <row r="599" ht="12.75" customHeight="1">
      <c r="A599" s="13"/>
      <c r="B599" s="103"/>
    </row>
    <row r="600" ht="12.75" customHeight="1">
      <c r="A600" s="13"/>
      <c r="B600" s="103"/>
    </row>
    <row r="601" ht="12.75" customHeight="1">
      <c r="A601" s="13"/>
      <c r="B601" s="103"/>
    </row>
    <row r="602" ht="12.75" customHeight="1">
      <c r="A602" s="13"/>
      <c r="B602" s="103"/>
    </row>
    <row r="603" ht="12.75" customHeight="1">
      <c r="A603" s="13"/>
      <c r="B603" s="103"/>
    </row>
    <row r="604" ht="12.75" customHeight="1">
      <c r="A604" s="13"/>
      <c r="B604" s="103"/>
    </row>
    <row r="605" ht="12.75" customHeight="1">
      <c r="A605" s="13"/>
      <c r="B605" s="103"/>
    </row>
    <row r="606" ht="12.75" customHeight="1">
      <c r="A606" s="13"/>
      <c r="B606" s="103"/>
    </row>
    <row r="607" ht="12.75" customHeight="1">
      <c r="A607" s="13"/>
      <c r="B607" s="103"/>
    </row>
    <row r="608" ht="12.75" customHeight="1">
      <c r="A608" s="13"/>
      <c r="B608" s="103"/>
    </row>
    <row r="609" ht="12.75" customHeight="1">
      <c r="A609" s="13"/>
      <c r="B609" s="103"/>
    </row>
    <row r="610" ht="12.75" customHeight="1">
      <c r="A610" s="13"/>
      <c r="B610" s="103"/>
    </row>
    <row r="611" ht="12.75" customHeight="1">
      <c r="A611" s="13"/>
      <c r="B611" s="103"/>
    </row>
    <row r="612" ht="12.75" customHeight="1">
      <c r="A612" s="13"/>
      <c r="B612" s="103"/>
    </row>
    <row r="613" ht="12.75" customHeight="1">
      <c r="A613" s="13"/>
      <c r="B613" s="103"/>
    </row>
    <row r="614" ht="12.75" customHeight="1">
      <c r="A614" s="13"/>
      <c r="B614" s="103"/>
    </row>
    <row r="615" ht="12.75" customHeight="1">
      <c r="A615" s="13"/>
      <c r="B615" s="103"/>
    </row>
    <row r="616" ht="12.75" customHeight="1">
      <c r="A616" s="13"/>
      <c r="B616" s="103"/>
    </row>
    <row r="617" ht="12.75" customHeight="1">
      <c r="A617" s="13"/>
      <c r="B617" s="103"/>
    </row>
    <row r="618" ht="12.75" customHeight="1">
      <c r="A618" s="13"/>
      <c r="B618" s="103"/>
    </row>
    <row r="619" ht="12.75" customHeight="1">
      <c r="A619" s="13"/>
      <c r="B619" s="103"/>
    </row>
    <row r="620" ht="12.75" customHeight="1">
      <c r="A620" s="13"/>
      <c r="B620" s="103"/>
    </row>
    <row r="621" ht="12.75" customHeight="1">
      <c r="A621" s="13"/>
      <c r="B621" s="103"/>
    </row>
    <row r="622" ht="12.75" customHeight="1">
      <c r="A622" s="13"/>
      <c r="B622" s="103"/>
    </row>
    <row r="623" ht="12.75" customHeight="1">
      <c r="A623" s="13"/>
      <c r="B623" s="103"/>
    </row>
    <row r="624" ht="12.75" customHeight="1">
      <c r="A624" s="13"/>
      <c r="B624" s="103"/>
    </row>
    <row r="625" ht="12.75" customHeight="1">
      <c r="A625" s="13"/>
      <c r="B625" s="103"/>
    </row>
    <row r="626" ht="12.75" customHeight="1">
      <c r="A626" s="13"/>
      <c r="B626" s="103"/>
    </row>
    <row r="627" ht="12.75" customHeight="1">
      <c r="A627" s="13"/>
      <c r="B627" s="103"/>
    </row>
    <row r="628" ht="12.75" customHeight="1">
      <c r="A628" s="13"/>
      <c r="B628" s="103"/>
    </row>
    <row r="629" ht="12.75" customHeight="1">
      <c r="A629" s="13"/>
      <c r="B629" s="103"/>
    </row>
    <row r="630" ht="12.75" customHeight="1">
      <c r="A630" s="13"/>
      <c r="B630" s="103"/>
    </row>
    <row r="631" ht="12.75" customHeight="1">
      <c r="A631" s="13"/>
      <c r="B631" s="103"/>
    </row>
    <row r="632" ht="12.75" customHeight="1">
      <c r="A632" s="13"/>
      <c r="B632" s="103"/>
    </row>
    <row r="633" ht="12.75" customHeight="1">
      <c r="A633" s="13"/>
      <c r="B633" s="103"/>
    </row>
    <row r="634" ht="12.75" customHeight="1">
      <c r="A634" s="13"/>
      <c r="B634" s="103"/>
    </row>
    <row r="635" ht="12.75" customHeight="1">
      <c r="A635" s="13"/>
      <c r="B635" s="103"/>
    </row>
    <row r="636" ht="12.75" customHeight="1">
      <c r="A636" s="13"/>
      <c r="B636" s="103"/>
    </row>
    <row r="637" ht="12.75" customHeight="1">
      <c r="A637" s="13"/>
      <c r="B637" s="103"/>
    </row>
    <row r="638" ht="12.75" customHeight="1">
      <c r="A638" s="13"/>
      <c r="B638" s="103"/>
    </row>
    <row r="639" ht="12.75" customHeight="1">
      <c r="A639" s="13"/>
      <c r="B639" s="103"/>
    </row>
    <row r="640" ht="12.75" customHeight="1">
      <c r="A640" s="13"/>
      <c r="B640" s="103"/>
    </row>
    <row r="641" ht="12.75" customHeight="1">
      <c r="A641" s="13"/>
      <c r="B641" s="103"/>
    </row>
    <row r="642" ht="12.75" customHeight="1">
      <c r="A642" s="13"/>
      <c r="B642" s="103"/>
    </row>
    <row r="643" ht="12.75" customHeight="1">
      <c r="A643" s="13"/>
      <c r="B643" s="103"/>
    </row>
    <row r="644" ht="12.75" customHeight="1">
      <c r="A644" s="13"/>
      <c r="B644" s="103"/>
    </row>
    <row r="645" ht="12.75" customHeight="1">
      <c r="A645" s="13"/>
      <c r="B645" s="103"/>
    </row>
    <row r="646" ht="12.75" customHeight="1">
      <c r="A646" s="13"/>
      <c r="B646" s="103"/>
    </row>
    <row r="647" ht="12.75" customHeight="1">
      <c r="A647" s="13"/>
      <c r="B647" s="103"/>
    </row>
    <row r="648" ht="12.75" customHeight="1">
      <c r="A648" s="13"/>
      <c r="B648" s="103"/>
    </row>
    <row r="649" ht="12.75" customHeight="1">
      <c r="A649" s="13"/>
      <c r="B649" s="103"/>
    </row>
    <row r="650" ht="12.75" customHeight="1">
      <c r="A650" s="13"/>
      <c r="B650" s="103"/>
    </row>
    <row r="651" ht="12.75" customHeight="1">
      <c r="A651" s="13"/>
      <c r="B651" s="103"/>
    </row>
    <row r="652" ht="12.75" customHeight="1">
      <c r="A652" s="13"/>
      <c r="B652" s="103"/>
    </row>
    <row r="653" ht="12.75" customHeight="1">
      <c r="A653" s="13"/>
      <c r="B653" s="103"/>
    </row>
    <row r="654" ht="12.75" customHeight="1">
      <c r="A654" s="13"/>
      <c r="B654" s="103"/>
    </row>
    <row r="655" ht="12.75" customHeight="1">
      <c r="A655" s="13"/>
      <c r="B655" s="103"/>
    </row>
    <row r="656" ht="12.75" customHeight="1">
      <c r="A656" s="13"/>
      <c r="B656" s="103"/>
    </row>
    <row r="657" ht="12.75" customHeight="1">
      <c r="A657" s="13"/>
      <c r="B657" s="103"/>
    </row>
    <row r="658" ht="12.75" customHeight="1">
      <c r="A658" s="13"/>
      <c r="B658" s="103"/>
    </row>
    <row r="659" ht="12.75" customHeight="1">
      <c r="A659" s="13"/>
      <c r="B659" s="103"/>
    </row>
    <row r="660" ht="12.75" customHeight="1">
      <c r="A660" s="13"/>
      <c r="B660" s="103"/>
    </row>
    <row r="661" ht="12.75" customHeight="1">
      <c r="A661" s="13"/>
      <c r="B661" s="103"/>
    </row>
    <row r="662" ht="12.75" customHeight="1">
      <c r="A662" s="13"/>
      <c r="B662" s="103"/>
    </row>
    <row r="663" ht="12.75" customHeight="1">
      <c r="A663" s="13"/>
      <c r="B663" s="103"/>
    </row>
    <row r="664" ht="12.75" customHeight="1">
      <c r="A664" s="13"/>
      <c r="B664" s="103"/>
    </row>
    <row r="665" ht="12.75" customHeight="1">
      <c r="A665" s="13"/>
      <c r="B665" s="103"/>
    </row>
    <row r="666" ht="12.75" customHeight="1">
      <c r="A666" s="13"/>
      <c r="B666" s="103"/>
    </row>
    <row r="667" ht="12.75" customHeight="1">
      <c r="A667" s="13"/>
      <c r="B667" s="103"/>
    </row>
    <row r="668" ht="12.75" customHeight="1">
      <c r="A668" s="13"/>
      <c r="B668" s="103"/>
    </row>
    <row r="669" ht="12.75" customHeight="1">
      <c r="A669" s="13"/>
      <c r="B669" s="103"/>
    </row>
    <row r="670" ht="12.75" customHeight="1">
      <c r="A670" s="13"/>
      <c r="B670" s="103"/>
    </row>
    <row r="671" ht="12.75" customHeight="1">
      <c r="A671" s="13"/>
      <c r="B671" s="103"/>
    </row>
    <row r="672" ht="12.75" customHeight="1">
      <c r="A672" s="13"/>
      <c r="B672" s="103"/>
    </row>
    <row r="673" ht="12.75" customHeight="1">
      <c r="A673" s="13"/>
      <c r="B673" s="103"/>
    </row>
    <row r="674" ht="12.75" customHeight="1">
      <c r="A674" s="13"/>
      <c r="B674" s="103"/>
    </row>
    <row r="675" ht="12.75" customHeight="1">
      <c r="A675" s="13"/>
      <c r="B675" s="103"/>
    </row>
    <row r="676" ht="12.75" customHeight="1">
      <c r="A676" s="13"/>
      <c r="B676" s="103"/>
    </row>
    <row r="677" ht="12.75" customHeight="1">
      <c r="A677" s="13"/>
      <c r="B677" s="103"/>
    </row>
    <row r="678" ht="12.75" customHeight="1">
      <c r="A678" s="13"/>
      <c r="B678" s="103"/>
    </row>
    <row r="679" ht="12.75" customHeight="1">
      <c r="A679" s="13"/>
      <c r="B679" s="103"/>
    </row>
    <row r="680" ht="12.75" customHeight="1">
      <c r="A680" s="13"/>
      <c r="B680" s="103"/>
    </row>
    <row r="681" ht="12.75" customHeight="1">
      <c r="A681" s="13"/>
      <c r="B681" s="103"/>
    </row>
    <row r="682" ht="12.75" customHeight="1">
      <c r="A682" s="13"/>
      <c r="B682" s="103"/>
    </row>
    <row r="683" ht="12.75" customHeight="1">
      <c r="A683" s="13"/>
      <c r="B683" s="103"/>
    </row>
    <row r="684" ht="12.75" customHeight="1">
      <c r="A684" s="13"/>
      <c r="B684" s="103"/>
    </row>
    <row r="685" ht="12.75" customHeight="1">
      <c r="A685" s="13"/>
      <c r="B685" s="103"/>
    </row>
    <row r="686" ht="12.75" customHeight="1">
      <c r="A686" s="13"/>
      <c r="B686" s="103"/>
    </row>
    <row r="687" ht="12.75" customHeight="1">
      <c r="A687" s="13"/>
      <c r="B687" s="103"/>
    </row>
    <row r="688" ht="12.75" customHeight="1">
      <c r="A688" s="13"/>
      <c r="B688" s="103"/>
    </row>
    <row r="689" ht="12.75" customHeight="1">
      <c r="A689" s="13"/>
      <c r="B689" s="103"/>
    </row>
    <row r="690" ht="12.75" customHeight="1">
      <c r="A690" s="13"/>
      <c r="B690" s="103"/>
    </row>
    <row r="691" ht="12.75" customHeight="1">
      <c r="A691" s="13"/>
      <c r="B691" s="103"/>
    </row>
    <row r="692" ht="12.75" customHeight="1">
      <c r="A692" s="13"/>
      <c r="B692" s="103"/>
    </row>
    <row r="693" ht="12.75" customHeight="1">
      <c r="A693" s="13"/>
      <c r="B693" s="103"/>
    </row>
    <row r="694" ht="12.75" customHeight="1">
      <c r="A694" s="13"/>
      <c r="B694" s="103"/>
    </row>
    <row r="695" ht="12.75" customHeight="1">
      <c r="A695" s="13"/>
      <c r="B695" s="103"/>
    </row>
    <row r="696" ht="12.75" customHeight="1">
      <c r="A696" s="13"/>
      <c r="B696" s="103"/>
    </row>
    <row r="697" ht="12.75" customHeight="1">
      <c r="A697" s="13"/>
      <c r="B697" s="103"/>
    </row>
    <row r="698" ht="12.75" customHeight="1">
      <c r="A698" s="13"/>
      <c r="B698" s="103"/>
    </row>
    <row r="699" ht="12.75" customHeight="1">
      <c r="A699" s="13"/>
      <c r="B699" s="103"/>
    </row>
    <row r="700" ht="12.75" customHeight="1">
      <c r="A700" s="13"/>
      <c r="B700" s="103"/>
    </row>
    <row r="701" ht="12.75" customHeight="1">
      <c r="A701" s="13"/>
      <c r="B701" s="103"/>
    </row>
    <row r="702" ht="12.75" customHeight="1">
      <c r="A702" s="13"/>
      <c r="B702" s="103"/>
    </row>
    <row r="703" ht="12.75" customHeight="1">
      <c r="A703" s="13"/>
      <c r="B703" s="103"/>
    </row>
    <row r="704" ht="12.75" customHeight="1">
      <c r="A704" s="13"/>
      <c r="B704" s="103"/>
    </row>
    <row r="705" ht="12.75" customHeight="1">
      <c r="A705" s="13"/>
      <c r="B705" s="103"/>
    </row>
    <row r="706" ht="12.75" customHeight="1">
      <c r="A706" s="13"/>
      <c r="B706" s="103"/>
    </row>
    <row r="707" ht="12.75" customHeight="1">
      <c r="A707" s="13"/>
      <c r="B707" s="103"/>
    </row>
    <row r="708" ht="12.75" customHeight="1">
      <c r="A708" s="13"/>
      <c r="B708" s="103"/>
    </row>
    <row r="709" ht="12.75" customHeight="1">
      <c r="A709" s="13"/>
      <c r="B709" s="103"/>
    </row>
    <row r="710" ht="12.75" customHeight="1">
      <c r="A710" s="13"/>
      <c r="B710" s="103"/>
    </row>
    <row r="711" ht="12.75" customHeight="1">
      <c r="A711" s="13"/>
      <c r="B711" s="103"/>
    </row>
    <row r="712" ht="12.75" customHeight="1">
      <c r="A712" s="13"/>
      <c r="B712" s="103"/>
    </row>
    <row r="713" ht="12.75" customHeight="1">
      <c r="A713" s="13"/>
      <c r="B713" s="103"/>
    </row>
    <row r="714" ht="12.75" customHeight="1">
      <c r="A714" s="13"/>
      <c r="B714" s="103"/>
    </row>
    <row r="715" ht="12.75" customHeight="1">
      <c r="A715" s="13"/>
      <c r="B715" s="103"/>
    </row>
    <row r="716" ht="12.75" customHeight="1">
      <c r="A716" s="13"/>
      <c r="B716" s="103"/>
    </row>
    <row r="717" ht="12.75" customHeight="1">
      <c r="A717" s="13"/>
      <c r="B717" s="103"/>
    </row>
    <row r="718" ht="12.75" customHeight="1">
      <c r="A718" s="13"/>
      <c r="B718" s="103"/>
    </row>
    <row r="719" ht="12.75" customHeight="1">
      <c r="A719" s="13"/>
      <c r="B719" s="103"/>
    </row>
    <row r="720" ht="12.75" customHeight="1">
      <c r="A720" s="13"/>
      <c r="B720" s="103"/>
    </row>
    <row r="721" ht="12.75" customHeight="1">
      <c r="A721" s="13"/>
      <c r="B721" s="103"/>
    </row>
    <row r="722" ht="12.75" customHeight="1">
      <c r="A722" s="13"/>
      <c r="B722" s="103"/>
    </row>
    <row r="723" ht="12.75" customHeight="1">
      <c r="A723" s="13"/>
      <c r="B723" s="103"/>
    </row>
    <row r="724" ht="12.75" customHeight="1">
      <c r="A724" s="13"/>
      <c r="B724" s="103"/>
    </row>
    <row r="725" ht="12.75" customHeight="1">
      <c r="A725" s="13"/>
      <c r="B725" s="103"/>
    </row>
    <row r="726" ht="12.75" customHeight="1">
      <c r="A726" s="13"/>
      <c r="B726" s="103"/>
    </row>
    <row r="727" ht="12.75" customHeight="1">
      <c r="A727" s="13"/>
      <c r="B727" s="103"/>
    </row>
    <row r="728" ht="12.75" customHeight="1">
      <c r="A728" s="13"/>
      <c r="B728" s="103"/>
    </row>
    <row r="729" ht="12.75" customHeight="1">
      <c r="A729" s="13"/>
      <c r="B729" s="103"/>
    </row>
    <row r="730" ht="12.75" customHeight="1">
      <c r="A730" s="13"/>
      <c r="B730" s="103"/>
    </row>
    <row r="731" ht="12.75" customHeight="1">
      <c r="A731" s="13"/>
      <c r="B731" s="103"/>
    </row>
    <row r="732" ht="12.75" customHeight="1">
      <c r="A732" s="13"/>
      <c r="B732" s="103"/>
    </row>
    <row r="733" ht="12.75" customHeight="1">
      <c r="A733" s="13"/>
      <c r="B733" s="103"/>
    </row>
    <row r="734" ht="12.75" customHeight="1">
      <c r="A734" s="13"/>
      <c r="B734" s="103"/>
    </row>
    <row r="735" ht="12.75" customHeight="1">
      <c r="A735" s="13"/>
      <c r="B735" s="103"/>
    </row>
    <row r="736" ht="12.75" customHeight="1">
      <c r="A736" s="13"/>
      <c r="B736" s="103"/>
    </row>
    <row r="737" ht="12.75" customHeight="1">
      <c r="A737" s="13"/>
      <c r="B737" s="103"/>
    </row>
    <row r="738" ht="12.75" customHeight="1">
      <c r="A738" s="13"/>
      <c r="B738" s="103"/>
    </row>
    <row r="739" ht="12.75" customHeight="1">
      <c r="A739" s="13"/>
      <c r="B739" s="103"/>
    </row>
    <row r="740" ht="12.75" customHeight="1">
      <c r="A740" s="13"/>
      <c r="B740" s="103"/>
    </row>
    <row r="741" ht="12.75" customHeight="1">
      <c r="A741" s="13"/>
      <c r="B741" s="103"/>
    </row>
    <row r="742" ht="12.75" customHeight="1">
      <c r="A742" s="13"/>
      <c r="B742" s="103"/>
    </row>
    <row r="743" ht="12.75" customHeight="1">
      <c r="A743" s="13"/>
      <c r="B743" s="103"/>
    </row>
    <row r="744" ht="12.75" customHeight="1">
      <c r="A744" s="13"/>
      <c r="B744" s="103"/>
    </row>
    <row r="745" ht="12.75" customHeight="1">
      <c r="A745" s="13"/>
      <c r="B745" s="103"/>
    </row>
    <row r="746" ht="12.75" customHeight="1">
      <c r="A746" s="13"/>
      <c r="B746" s="103"/>
    </row>
    <row r="747" ht="12.75" customHeight="1">
      <c r="A747" s="13"/>
      <c r="B747" s="103"/>
    </row>
    <row r="748" ht="12.75" customHeight="1">
      <c r="A748" s="13"/>
      <c r="B748" s="103"/>
    </row>
    <row r="749" ht="12.75" customHeight="1">
      <c r="A749" s="13"/>
      <c r="B749" s="103"/>
    </row>
    <row r="750" ht="12.75" customHeight="1">
      <c r="A750" s="13"/>
      <c r="B750" s="103"/>
    </row>
    <row r="751" ht="12.75" customHeight="1">
      <c r="A751" s="13"/>
      <c r="B751" s="103"/>
    </row>
    <row r="752" ht="12.75" customHeight="1">
      <c r="A752" s="13"/>
      <c r="B752" s="103"/>
    </row>
    <row r="753" ht="12.75" customHeight="1">
      <c r="A753" s="13"/>
      <c r="B753" s="103"/>
    </row>
    <row r="754" ht="12.75" customHeight="1">
      <c r="A754" s="13"/>
      <c r="B754" s="103"/>
    </row>
    <row r="755" ht="12.75" customHeight="1">
      <c r="A755" s="13"/>
      <c r="B755" s="103"/>
    </row>
    <row r="756" ht="12.75" customHeight="1">
      <c r="A756" s="13"/>
      <c r="B756" s="103"/>
    </row>
    <row r="757" ht="12.75" customHeight="1">
      <c r="A757" s="13"/>
      <c r="B757" s="103"/>
    </row>
    <row r="758" ht="12.75" customHeight="1">
      <c r="A758" s="13"/>
      <c r="B758" s="103"/>
    </row>
    <row r="759" ht="12.75" customHeight="1">
      <c r="A759" s="13"/>
      <c r="B759" s="103"/>
    </row>
    <row r="760" ht="12.75" customHeight="1">
      <c r="A760" s="13"/>
      <c r="B760" s="103"/>
    </row>
    <row r="761" ht="12.75" customHeight="1">
      <c r="A761" s="13"/>
      <c r="B761" s="103"/>
    </row>
    <row r="762" ht="12.75" customHeight="1">
      <c r="A762" s="13"/>
      <c r="B762" s="103"/>
    </row>
    <row r="763" ht="12.75" customHeight="1">
      <c r="A763" s="13"/>
      <c r="B763" s="103"/>
    </row>
    <row r="764" ht="12.75" customHeight="1">
      <c r="A764" s="13"/>
      <c r="B764" s="103"/>
    </row>
    <row r="765" ht="12.75" customHeight="1">
      <c r="A765" s="13"/>
      <c r="B765" s="103"/>
    </row>
    <row r="766" ht="12.75" customHeight="1">
      <c r="A766" s="13"/>
      <c r="B766" s="103"/>
    </row>
    <row r="767" ht="12.75" customHeight="1">
      <c r="A767" s="13"/>
      <c r="B767" s="103"/>
    </row>
    <row r="768" ht="12.75" customHeight="1">
      <c r="A768" s="13"/>
      <c r="B768" s="103"/>
    </row>
    <row r="769" ht="12.75" customHeight="1">
      <c r="A769" s="13"/>
      <c r="B769" s="103"/>
    </row>
    <row r="770" ht="12.75" customHeight="1">
      <c r="A770" s="13"/>
      <c r="B770" s="103"/>
    </row>
    <row r="771" ht="12.75" customHeight="1">
      <c r="A771" s="13"/>
      <c r="B771" s="103"/>
    </row>
    <row r="772" ht="12.75" customHeight="1">
      <c r="A772" s="13"/>
      <c r="B772" s="103"/>
    </row>
    <row r="773" ht="12.75" customHeight="1">
      <c r="A773" s="13"/>
      <c r="B773" s="103"/>
    </row>
    <row r="774" ht="12.75" customHeight="1">
      <c r="A774" s="13"/>
      <c r="B774" s="103"/>
    </row>
    <row r="775" ht="12.75" customHeight="1">
      <c r="A775" s="13"/>
      <c r="B775" s="103"/>
    </row>
    <row r="776" ht="12.75" customHeight="1">
      <c r="A776" s="13"/>
      <c r="B776" s="103"/>
    </row>
    <row r="777" ht="12.75" customHeight="1">
      <c r="A777" s="13"/>
      <c r="B777" s="103"/>
    </row>
    <row r="778" ht="12.75" customHeight="1">
      <c r="A778" s="13"/>
      <c r="B778" s="103"/>
    </row>
    <row r="779" ht="12.75" customHeight="1">
      <c r="A779" s="13"/>
      <c r="B779" s="103"/>
    </row>
    <row r="780" ht="12.75" customHeight="1">
      <c r="A780" s="13"/>
      <c r="B780" s="103"/>
    </row>
    <row r="781" ht="12.75" customHeight="1">
      <c r="A781" s="13"/>
      <c r="B781" s="103"/>
    </row>
    <row r="782" ht="12.75" customHeight="1">
      <c r="A782" s="13"/>
      <c r="B782" s="103"/>
    </row>
    <row r="783" ht="12.75" customHeight="1">
      <c r="A783" s="13"/>
      <c r="B783" s="103"/>
    </row>
    <row r="784" ht="12.75" customHeight="1">
      <c r="A784" s="13"/>
      <c r="B784" s="103"/>
    </row>
    <row r="785" ht="12.75" customHeight="1">
      <c r="A785" s="13"/>
      <c r="B785" s="103"/>
    </row>
    <row r="786" ht="12.75" customHeight="1">
      <c r="A786" s="13"/>
      <c r="B786" s="103"/>
    </row>
    <row r="787" ht="12.75" customHeight="1">
      <c r="A787" s="13"/>
      <c r="B787" s="103"/>
    </row>
    <row r="788" ht="12.75" customHeight="1">
      <c r="A788" s="13"/>
      <c r="B788" s="103"/>
    </row>
    <row r="789" ht="12.75" customHeight="1">
      <c r="A789" s="13"/>
      <c r="B789" s="103"/>
    </row>
    <row r="790" ht="12.75" customHeight="1">
      <c r="A790" s="13"/>
      <c r="B790" s="103"/>
    </row>
    <row r="791" ht="12.75" customHeight="1">
      <c r="A791" s="13"/>
      <c r="B791" s="103"/>
    </row>
    <row r="792" ht="12.75" customHeight="1">
      <c r="A792" s="13"/>
      <c r="B792" s="103"/>
    </row>
    <row r="793" ht="12.75" customHeight="1">
      <c r="A793" s="13"/>
      <c r="B793" s="103"/>
    </row>
    <row r="794" ht="12.75" customHeight="1">
      <c r="A794" s="13"/>
      <c r="B794" s="103"/>
    </row>
    <row r="795" ht="12.75" customHeight="1">
      <c r="A795" s="13"/>
      <c r="B795" s="103"/>
    </row>
    <row r="796" ht="12.75" customHeight="1">
      <c r="A796" s="13"/>
      <c r="B796" s="103"/>
    </row>
    <row r="797" ht="12.75" customHeight="1">
      <c r="A797" s="13"/>
      <c r="B797" s="103"/>
    </row>
    <row r="798" ht="12.75" customHeight="1">
      <c r="A798" s="13"/>
      <c r="B798" s="103"/>
    </row>
    <row r="799" ht="12.75" customHeight="1">
      <c r="A799" s="13"/>
      <c r="B799" s="103"/>
    </row>
    <row r="800" ht="12.75" customHeight="1">
      <c r="A800" s="13"/>
      <c r="B800" s="103"/>
    </row>
    <row r="801" ht="12.75" customHeight="1">
      <c r="A801" s="13"/>
      <c r="B801" s="103"/>
    </row>
    <row r="802" ht="12.75" customHeight="1">
      <c r="A802" s="13"/>
      <c r="B802" s="103"/>
    </row>
    <row r="803" ht="12.75" customHeight="1">
      <c r="A803" s="13"/>
      <c r="B803" s="103"/>
    </row>
    <row r="804" ht="12.75" customHeight="1">
      <c r="A804" s="13"/>
      <c r="B804" s="103"/>
    </row>
    <row r="805" ht="12.75" customHeight="1">
      <c r="A805" s="13"/>
      <c r="B805" s="103"/>
    </row>
    <row r="806" ht="12.75" customHeight="1">
      <c r="A806" s="13"/>
      <c r="B806" s="103"/>
    </row>
    <row r="807" ht="12.75" customHeight="1">
      <c r="A807" s="13"/>
      <c r="B807" s="103"/>
    </row>
    <row r="808" ht="12.75" customHeight="1">
      <c r="A808" s="13"/>
      <c r="B808" s="103"/>
    </row>
    <row r="809" ht="12.75" customHeight="1">
      <c r="A809" s="13"/>
      <c r="B809" s="103"/>
    </row>
    <row r="810" ht="12.75" customHeight="1">
      <c r="A810" s="13"/>
      <c r="B810" s="103"/>
    </row>
    <row r="811" ht="12.75" customHeight="1">
      <c r="A811" s="13"/>
      <c r="B811" s="103"/>
    </row>
    <row r="812" ht="12.75" customHeight="1">
      <c r="A812" s="13"/>
      <c r="B812" s="103"/>
    </row>
    <row r="813" ht="12.75" customHeight="1">
      <c r="A813" s="13"/>
      <c r="B813" s="103"/>
    </row>
    <row r="814" ht="12.75" customHeight="1">
      <c r="A814" s="13"/>
      <c r="B814" s="103"/>
    </row>
    <row r="815" ht="12.75" customHeight="1">
      <c r="A815" s="13"/>
      <c r="B815" s="103"/>
    </row>
    <row r="816" ht="12.75" customHeight="1">
      <c r="A816" s="13"/>
      <c r="B816" s="103"/>
    </row>
    <row r="817" ht="12.75" customHeight="1">
      <c r="A817" s="13"/>
      <c r="B817" s="103"/>
    </row>
    <row r="818" ht="12.75" customHeight="1">
      <c r="A818" s="13"/>
      <c r="B818" s="103"/>
    </row>
    <row r="819" ht="12.75" customHeight="1">
      <c r="A819" s="13"/>
      <c r="B819" s="103"/>
    </row>
    <row r="820" ht="12.75" customHeight="1">
      <c r="A820" s="13"/>
      <c r="B820" s="103"/>
    </row>
    <row r="821" ht="12.75" customHeight="1">
      <c r="A821" s="13"/>
      <c r="B821" s="103"/>
    </row>
    <row r="822" ht="12.75" customHeight="1">
      <c r="A822" s="13"/>
      <c r="B822" s="103"/>
    </row>
    <row r="823" ht="12.75" customHeight="1">
      <c r="A823" s="13"/>
      <c r="B823" s="103"/>
    </row>
    <row r="824" ht="12.75" customHeight="1">
      <c r="A824" s="13"/>
      <c r="B824" s="103"/>
    </row>
    <row r="825" ht="12.75" customHeight="1">
      <c r="A825" s="13"/>
      <c r="B825" s="103"/>
    </row>
    <row r="826" ht="12.75" customHeight="1">
      <c r="A826" s="13"/>
      <c r="B826" s="103"/>
    </row>
    <row r="827" ht="12.75" customHeight="1">
      <c r="A827" s="13"/>
      <c r="B827" s="103"/>
    </row>
    <row r="828" ht="12.75" customHeight="1">
      <c r="A828" s="13"/>
      <c r="B828" s="103"/>
    </row>
    <row r="829" ht="12.75" customHeight="1">
      <c r="A829" s="13"/>
      <c r="B829" s="103"/>
    </row>
    <row r="830" ht="12.75" customHeight="1">
      <c r="A830" s="13"/>
      <c r="B830" s="103"/>
    </row>
    <row r="831" ht="12.75" customHeight="1">
      <c r="A831" s="13"/>
      <c r="B831" s="103"/>
    </row>
    <row r="832" ht="12.75" customHeight="1">
      <c r="A832" s="13"/>
      <c r="B832" s="103"/>
    </row>
    <row r="833" ht="12.75" customHeight="1">
      <c r="A833" s="13"/>
      <c r="B833" s="103"/>
    </row>
    <row r="834" ht="12.75" customHeight="1">
      <c r="A834" s="13"/>
      <c r="B834" s="103"/>
    </row>
    <row r="835" ht="12.75" customHeight="1">
      <c r="A835" s="13"/>
      <c r="B835" s="103"/>
    </row>
    <row r="836" ht="12.75" customHeight="1">
      <c r="A836" s="13"/>
      <c r="B836" s="103"/>
    </row>
    <row r="837" ht="12.75" customHeight="1">
      <c r="A837" s="13"/>
      <c r="B837" s="103"/>
    </row>
    <row r="838" ht="12.75" customHeight="1">
      <c r="A838" s="13"/>
      <c r="B838" s="103"/>
    </row>
    <row r="839" ht="12.75" customHeight="1">
      <c r="A839" s="13"/>
      <c r="B839" s="103"/>
    </row>
    <row r="840" ht="12.75" customHeight="1">
      <c r="A840" s="13"/>
      <c r="B840" s="103"/>
    </row>
    <row r="841" ht="12.75" customHeight="1">
      <c r="A841" s="13"/>
      <c r="B841" s="103"/>
    </row>
    <row r="842" ht="12.75" customHeight="1">
      <c r="A842" s="13"/>
      <c r="B842" s="103"/>
    </row>
    <row r="843" ht="12.75" customHeight="1">
      <c r="A843" s="13"/>
      <c r="B843" s="103"/>
    </row>
    <row r="844" ht="12.75" customHeight="1">
      <c r="A844" s="13"/>
      <c r="B844" s="103"/>
    </row>
    <row r="845" ht="12.75" customHeight="1">
      <c r="A845" s="13"/>
      <c r="B845" s="103"/>
    </row>
    <row r="846" ht="12.75" customHeight="1">
      <c r="A846" s="13"/>
      <c r="B846" s="103"/>
    </row>
    <row r="847" ht="12.75" customHeight="1">
      <c r="A847" s="13"/>
      <c r="B847" s="103"/>
    </row>
    <row r="848" ht="12.75" customHeight="1">
      <c r="A848" s="13"/>
      <c r="B848" s="103"/>
    </row>
    <row r="849" ht="12.75" customHeight="1">
      <c r="A849" s="13"/>
      <c r="B849" s="103"/>
    </row>
    <row r="850" ht="12.75" customHeight="1">
      <c r="A850" s="13"/>
      <c r="B850" s="103"/>
    </row>
    <row r="851" ht="12.75" customHeight="1">
      <c r="A851" s="13"/>
      <c r="B851" s="103"/>
    </row>
    <row r="852" ht="12.75" customHeight="1">
      <c r="A852" s="13"/>
      <c r="B852" s="103"/>
    </row>
    <row r="853" ht="12.75" customHeight="1">
      <c r="A853" s="13"/>
      <c r="B853" s="103"/>
    </row>
    <row r="854" ht="12.75" customHeight="1">
      <c r="A854" s="13"/>
      <c r="B854" s="103"/>
    </row>
    <row r="855" ht="12.75" customHeight="1">
      <c r="A855" s="13"/>
      <c r="B855" s="103"/>
    </row>
    <row r="856" ht="12.75" customHeight="1">
      <c r="A856" s="13"/>
      <c r="B856" s="103"/>
    </row>
    <row r="857" ht="12.75" customHeight="1">
      <c r="A857" s="13"/>
      <c r="B857" s="103"/>
    </row>
    <row r="858" ht="12.75" customHeight="1">
      <c r="A858" s="13"/>
      <c r="B858" s="103"/>
    </row>
    <row r="859" ht="12.75" customHeight="1">
      <c r="A859" s="13"/>
      <c r="B859" s="103"/>
    </row>
    <row r="860" ht="12.75" customHeight="1">
      <c r="A860" s="13"/>
      <c r="B860" s="103"/>
    </row>
    <row r="861" ht="12.75" customHeight="1">
      <c r="A861" s="13"/>
      <c r="B861" s="103"/>
    </row>
    <row r="862" ht="12.75" customHeight="1">
      <c r="A862" s="13"/>
      <c r="B862" s="103"/>
    </row>
    <row r="863" ht="12.75" customHeight="1">
      <c r="A863" s="13"/>
      <c r="B863" s="103"/>
    </row>
    <row r="864" ht="12.75" customHeight="1">
      <c r="A864" s="13"/>
      <c r="B864" s="103"/>
    </row>
    <row r="865" ht="12.75" customHeight="1">
      <c r="A865" s="13"/>
      <c r="B865" s="103"/>
    </row>
    <row r="866" ht="12.75" customHeight="1">
      <c r="A866" s="13"/>
      <c r="B866" s="103"/>
    </row>
    <row r="867" ht="12.75" customHeight="1">
      <c r="A867" s="13"/>
      <c r="B867" s="103"/>
    </row>
    <row r="868" ht="12.75" customHeight="1">
      <c r="A868" s="13"/>
      <c r="B868" s="103"/>
    </row>
    <row r="869" ht="12.75" customHeight="1">
      <c r="A869" s="13"/>
      <c r="B869" s="103"/>
    </row>
    <row r="870" ht="12.75" customHeight="1">
      <c r="A870" s="13"/>
      <c r="B870" s="103"/>
    </row>
    <row r="871" ht="12.75" customHeight="1">
      <c r="A871" s="13"/>
      <c r="B871" s="103"/>
    </row>
    <row r="872" ht="12.75" customHeight="1">
      <c r="A872" s="13"/>
      <c r="B872" s="103"/>
    </row>
    <row r="873" ht="12.75" customHeight="1">
      <c r="A873" s="13"/>
      <c r="B873" s="103"/>
    </row>
    <row r="874" ht="12.75" customHeight="1">
      <c r="A874" s="13"/>
      <c r="B874" s="103"/>
    </row>
    <row r="875" ht="12.75" customHeight="1">
      <c r="A875" s="13"/>
      <c r="B875" s="103"/>
    </row>
    <row r="876" ht="12.75" customHeight="1">
      <c r="A876" s="13"/>
      <c r="B876" s="103"/>
    </row>
    <row r="877" ht="12.75" customHeight="1">
      <c r="A877" s="13"/>
      <c r="B877" s="103"/>
    </row>
    <row r="878" ht="12.75" customHeight="1">
      <c r="A878" s="13"/>
      <c r="B878" s="103"/>
    </row>
    <row r="879" ht="12.75" customHeight="1">
      <c r="A879" s="13"/>
      <c r="B879" s="103"/>
    </row>
    <row r="880" ht="12.75" customHeight="1">
      <c r="A880" s="13"/>
      <c r="B880" s="103"/>
    </row>
    <row r="881" ht="12.75" customHeight="1">
      <c r="A881" s="13"/>
      <c r="B881" s="103"/>
    </row>
    <row r="882" ht="12.75" customHeight="1">
      <c r="A882" s="13"/>
      <c r="B882" s="103"/>
    </row>
    <row r="883" ht="12.75" customHeight="1">
      <c r="A883" s="13"/>
      <c r="B883" s="103"/>
    </row>
    <row r="884" ht="12.75" customHeight="1">
      <c r="A884" s="13"/>
      <c r="B884" s="103"/>
    </row>
    <row r="885" ht="12.75" customHeight="1">
      <c r="A885" s="13"/>
      <c r="B885" s="103"/>
    </row>
    <row r="886" ht="12.75" customHeight="1">
      <c r="A886" s="13"/>
      <c r="B886" s="103"/>
    </row>
    <row r="887" ht="12.75" customHeight="1">
      <c r="A887" s="13"/>
      <c r="B887" s="103"/>
    </row>
    <row r="888" ht="12.75" customHeight="1">
      <c r="A888" s="13"/>
      <c r="B888" s="103"/>
    </row>
    <row r="889" ht="12.75" customHeight="1">
      <c r="A889" s="13"/>
      <c r="B889" s="103"/>
    </row>
    <row r="890" ht="12.75" customHeight="1">
      <c r="A890" s="13"/>
      <c r="B890" s="103"/>
    </row>
    <row r="891" ht="12.75" customHeight="1">
      <c r="A891" s="13"/>
      <c r="B891" s="103"/>
    </row>
    <row r="892" ht="12.75" customHeight="1">
      <c r="A892" s="13"/>
      <c r="B892" s="103"/>
    </row>
    <row r="893" ht="12.75" customHeight="1">
      <c r="A893" s="13"/>
      <c r="B893" s="103"/>
    </row>
    <row r="894" ht="12.75" customHeight="1">
      <c r="A894" s="13"/>
      <c r="B894" s="103"/>
    </row>
    <row r="895" ht="12.75" customHeight="1">
      <c r="A895" s="13"/>
      <c r="B895" s="103"/>
    </row>
    <row r="896" ht="12.75" customHeight="1">
      <c r="A896" s="13"/>
      <c r="B896" s="103"/>
    </row>
    <row r="897" ht="12.75" customHeight="1">
      <c r="A897" s="13"/>
      <c r="B897" s="103"/>
    </row>
    <row r="898" ht="12.75" customHeight="1">
      <c r="A898" s="13"/>
      <c r="B898" s="103"/>
    </row>
    <row r="899" ht="12.75" customHeight="1">
      <c r="A899" s="13"/>
      <c r="B899" s="103"/>
    </row>
    <row r="900" ht="12.75" customHeight="1">
      <c r="A900" s="13"/>
      <c r="B900" s="103"/>
    </row>
    <row r="901" ht="12.75" customHeight="1">
      <c r="A901" s="13"/>
      <c r="B901" s="103"/>
    </row>
    <row r="902" ht="12.75" customHeight="1">
      <c r="A902" s="13"/>
      <c r="B902" s="103"/>
    </row>
    <row r="903" ht="12.75" customHeight="1">
      <c r="A903" s="13"/>
      <c r="B903" s="103"/>
    </row>
    <row r="904" ht="12.75" customHeight="1">
      <c r="A904" s="13"/>
      <c r="B904" s="103"/>
    </row>
    <row r="905" ht="12.75" customHeight="1">
      <c r="A905" s="13"/>
      <c r="B905" s="103"/>
    </row>
    <row r="906" ht="12.75" customHeight="1">
      <c r="A906" s="13"/>
      <c r="B906" s="103"/>
    </row>
    <row r="907" ht="12.75" customHeight="1">
      <c r="A907" s="13"/>
      <c r="B907" s="103"/>
    </row>
    <row r="908" ht="12.75" customHeight="1">
      <c r="A908" s="13"/>
      <c r="B908" s="103"/>
    </row>
    <row r="909" ht="12.75" customHeight="1">
      <c r="A909" s="13"/>
      <c r="B909" s="103"/>
    </row>
    <row r="910" ht="12.75" customHeight="1">
      <c r="A910" s="13"/>
      <c r="B910" s="103"/>
    </row>
    <row r="911" ht="12.75" customHeight="1">
      <c r="A911" s="13"/>
      <c r="B911" s="103"/>
    </row>
    <row r="912" ht="12.75" customHeight="1">
      <c r="A912" s="13"/>
      <c r="B912" s="103"/>
    </row>
    <row r="913" ht="12.75" customHeight="1">
      <c r="A913" s="13"/>
      <c r="B913" s="103"/>
    </row>
    <row r="914" ht="12.75" customHeight="1">
      <c r="A914" s="13"/>
      <c r="B914" s="103"/>
    </row>
    <row r="915" ht="12.75" customHeight="1">
      <c r="A915" s="13"/>
      <c r="B915" s="103"/>
    </row>
    <row r="916" ht="12.75" customHeight="1">
      <c r="A916" s="13"/>
      <c r="B916" s="103"/>
    </row>
    <row r="917" ht="12.75" customHeight="1">
      <c r="A917" s="13"/>
      <c r="B917" s="103"/>
    </row>
    <row r="918" ht="12.75" customHeight="1">
      <c r="A918" s="13"/>
      <c r="B918" s="103"/>
    </row>
    <row r="919" ht="12.75" customHeight="1">
      <c r="A919" s="13"/>
      <c r="B919" s="103"/>
    </row>
    <row r="920" ht="12.75" customHeight="1">
      <c r="A920" s="13"/>
      <c r="B920" s="103"/>
    </row>
    <row r="921" ht="12.75" customHeight="1">
      <c r="A921" s="13"/>
      <c r="B921" s="103"/>
    </row>
    <row r="922" ht="12.75" customHeight="1">
      <c r="A922" s="13"/>
      <c r="B922" s="103"/>
    </row>
    <row r="923" ht="12.75" customHeight="1">
      <c r="A923" s="13"/>
      <c r="B923" s="103"/>
    </row>
    <row r="924" ht="12.75" customHeight="1">
      <c r="A924" s="13"/>
      <c r="B924" s="103"/>
    </row>
    <row r="925" ht="12.75" customHeight="1">
      <c r="A925" s="13"/>
      <c r="B925" s="103"/>
    </row>
    <row r="926" ht="12.75" customHeight="1">
      <c r="A926" s="13"/>
      <c r="B926" s="103"/>
    </row>
    <row r="927" ht="12.75" customHeight="1">
      <c r="A927" s="13"/>
      <c r="B927" s="103"/>
    </row>
    <row r="928" ht="12.75" customHeight="1">
      <c r="A928" s="13"/>
      <c r="B928" s="103"/>
    </row>
    <row r="929" ht="12.75" customHeight="1">
      <c r="A929" s="13"/>
      <c r="B929" s="103"/>
    </row>
    <row r="930" ht="12.75" customHeight="1">
      <c r="A930" s="13"/>
      <c r="B930" s="103"/>
    </row>
    <row r="931" ht="12.75" customHeight="1">
      <c r="A931" s="13"/>
      <c r="B931" s="103"/>
    </row>
    <row r="932" ht="12.75" customHeight="1">
      <c r="A932" s="13"/>
      <c r="B932" s="103"/>
    </row>
    <row r="933" ht="12.75" customHeight="1">
      <c r="A933" s="13"/>
      <c r="B933" s="103"/>
    </row>
    <row r="934" ht="12.75" customHeight="1">
      <c r="A934" s="13"/>
      <c r="B934" s="103"/>
    </row>
    <row r="935" ht="12.75" customHeight="1">
      <c r="A935" s="13"/>
      <c r="B935" s="103"/>
    </row>
    <row r="936" ht="12.75" customHeight="1">
      <c r="A936" s="13"/>
      <c r="B936" s="103"/>
    </row>
    <row r="937" ht="12.75" customHeight="1">
      <c r="A937" s="13"/>
      <c r="B937" s="103"/>
    </row>
    <row r="938" ht="12.75" customHeight="1">
      <c r="A938" s="13"/>
      <c r="B938" s="103"/>
    </row>
    <row r="939" ht="12.75" customHeight="1">
      <c r="A939" s="13"/>
      <c r="B939" s="103"/>
    </row>
    <row r="940" ht="12.75" customHeight="1">
      <c r="A940" s="13"/>
      <c r="B940" s="103"/>
    </row>
    <row r="941" ht="12.75" customHeight="1">
      <c r="A941" s="13"/>
      <c r="B941" s="103"/>
    </row>
    <row r="942" ht="12.75" customHeight="1">
      <c r="A942" s="13"/>
      <c r="B942" s="103"/>
    </row>
    <row r="943" ht="12.75" customHeight="1">
      <c r="A943" s="13"/>
      <c r="B943" s="103"/>
    </row>
    <row r="944" ht="12.75" customHeight="1">
      <c r="A944" s="13"/>
      <c r="B944" s="103"/>
    </row>
    <row r="945" ht="12.75" customHeight="1">
      <c r="A945" s="13"/>
      <c r="B945" s="103"/>
    </row>
    <row r="946" ht="12.75" customHeight="1">
      <c r="A946" s="13"/>
      <c r="B946" s="103"/>
    </row>
    <row r="947" ht="12.75" customHeight="1">
      <c r="A947" s="13"/>
      <c r="B947" s="103"/>
    </row>
    <row r="948" ht="12.75" customHeight="1">
      <c r="A948" s="13"/>
      <c r="B948" s="103"/>
    </row>
    <row r="949" ht="12.75" customHeight="1">
      <c r="A949" s="13"/>
      <c r="B949" s="103"/>
    </row>
    <row r="950" ht="12.75" customHeight="1">
      <c r="A950" s="13"/>
      <c r="B950" s="103"/>
    </row>
    <row r="951" ht="12.75" customHeight="1">
      <c r="A951" s="13"/>
      <c r="B951" s="103"/>
    </row>
    <row r="952" ht="12.75" customHeight="1">
      <c r="A952" s="13"/>
      <c r="B952" s="103"/>
    </row>
    <row r="953" ht="12.75" customHeight="1">
      <c r="A953" s="13"/>
      <c r="B953" s="103"/>
    </row>
    <row r="954" ht="12.75" customHeight="1">
      <c r="A954" s="13"/>
      <c r="B954" s="103"/>
    </row>
    <row r="955" ht="12.75" customHeight="1">
      <c r="A955" s="13"/>
      <c r="B955" s="103"/>
    </row>
    <row r="956" ht="12.75" customHeight="1">
      <c r="A956" s="13"/>
      <c r="B956" s="103"/>
    </row>
    <row r="957" ht="12.75" customHeight="1">
      <c r="A957" s="13"/>
      <c r="B957" s="103"/>
    </row>
    <row r="958" ht="12.75" customHeight="1">
      <c r="A958" s="13"/>
      <c r="B958" s="103"/>
    </row>
    <row r="959" ht="12.75" customHeight="1">
      <c r="A959" s="13"/>
      <c r="B959" s="103"/>
    </row>
    <row r="960" ht="12.75" customHeight="1">
      <c r="A960" s="13"/>
      <c r="B960" s="103"/>
    </row>
    <row r="961" ht="12.75" customHeight="1">
      <c r="A961" s="13"/>
      <c r="B961" s="103"/>
    </row>
    <row r="962" ht="12.75" customHeight="1">
      <c r="A962" s="13"/>
      <c r="B962" s="103"/>
    </row>
    <row r="963" ht="12.75" customHeight="1">
      <c r="A963" s="13"/>
      <c r="B963" s="103"/>
    </row>
    <row r="964" ht="12.75" customHeight="1">
      <c r="A964" s="13"/>
      <c r="B964" s="103"/>
    </row>
    <row r="965" ht="12.75" customHeight="1">
      <c r="A965" s="13"/>
      <c r="B965" s="103"/>
    </row>
    <row r="966" ht="12.75" customHeight="1">
      <c r="A966" s="13"/>
      <c r="B966" s="103"/>
    </row>
    <row r="967" ht="12.75" customHeight="1">
      <c r="A967" s="13"/>
      <c r="B967" s="103"/>
    </row>
    <row r="968" ht="12.75" customHeight="1">
      <c r="A968" s="13"/>
      <c r="B968" s="103"/>
    </row>
    <row r="969" ht="12.75" customHeight="1">
      <c r="A969" s="13"/>
      <c r="B969" s="103"/>
    </row>
    <row r="970" ht="12.75" customHeight="1">
      <c r="A970" s="13"/>
      <c r="B970" s="103"/>
    </row>
    <row r="971" ht="12.75" customHeight="1">
      <c r="A971" s="13"/>
      <c r="B971" s="103"/>
    </row>
    <row r="972" ht="12.75" customHeight="1">
      <c r="A972" s="13"/>
      <c r="B972" s="103"/>
    </row>
    <row r="973" ht="12.75" customHeight="1">
      <c r="A973" s="13"/>
      <c r="B973" s="103"/>
    </row>
    <row r="974" ht="12.75" customHeight="1">
      <c r="A974" s="13"/>
      <c r="B974" s="103"/>
    </row>
    <row r="975" ht="12.75" customHeight="1">
      <c r="A975" s="13"/>
      <c r="B975" s="103"/>
    </row>
    <row r="976" ht="12.75" customHeight="1">
      <c r="A976" s="13"/>
      <c r="B976" s="103"/>
    </row>
    <row r="977" ht="12.75" customHeight="1">
      <c r="A977" s="13"/>
      <c r="B977" s="103"/>
    </row>
    <row r="978" ht="12.75" customHeight="1">
      <c r="A978" s="13"/>
      <c r="B978" s="103"/>
    </row>
    <row r="979" ht="12.75" customHeight="1">
      <c r="A979" s="13"/>
      <c r="B979" s="103"/>
    </row>
    <row r="980" ht="12.75" customHeight="1">
      <c r="A980" s="13"/>
      <c r="B980" s="103"/>
    </row>
  </sheetData>
  <mergeCells count="3">
    <mergeCell ref="A5:B5"/>
    <mergeCell ref="A6:A17"/>
    <mergeCell ref="A24:B24"/>
  </mergeCells>
  <hyperlinks>
    <hyperlink display="до змісту" location="'0'!A1" ref="A1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29"/>
    <col customWidth="1" min="2" max="2" width="46.0"/>
    <col customWidth="1" min="3" max="7" width="10.71"/>
    <col customWidth="1" min="8" max="19" width="8.71"/>
  </cols>
  <sheetData>
    <row r="1" ht="12.75" customHeight="1">
      <c r="A1" s="87" t="s">
        <v>8</v>
      </c>
      <c r="B1" s="106"/>
    </row>
    <row r="2" ht="12.75" customHeight="1">
      <c r="A2" s="107"/>
      <c r="B2" s="108"/>
      <c r="C2" s="89">
        <v>44016.0</v>
      </c>
      <c r="D2" s="89">
        <v>44381.0</v>
      </c>
      <c r="E2" s="89">
        <v>44746.0</v>
      </c>
      <c r="F2" s="89">
        <v>45111.0</v>
      </c>
      <c r="G2" s="89">
        <v>45477.0</v>
      </c>
    </row>
    <row r="3" ht="36.0" customHeight="1">
      <c r="A3" s="109" t="str">
        <f>IF('0'!A1=1,"Індекс споживчих цін  (рік до попереднього року, %)","Consumer price indices (year to the previous year , %)")</f>
        <v>Індекс споживчих цін  (рік до попереднього року, %)</v>
      </c>
      <c r="B3" s="110"/>
      <c r="C3" s="92">
        <v>2.7</v>
      </c>
      <c r="D3" s="92">
        <v>9.4</v>
      </c>
      <c r="E3" s="92">
        <v>20.200000000000003</v>
      </c>
      <c r="F3" s="92">
        <v>12.900000000000006</v>
      </c>
      <c r="G3" s="92">
        <v>6.5</v>
      </c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</row>
    <row r="4" ht="31.5" customHeight="1">
      <c r="A4" s="93" t="str">
        <f>IF('0'!A1=1,"ТОВАРНІ ГРУПИ*","PRODUCTS GROUPS*")</f>
        <v>ТОВАРНІ ГРУПИ*</v>
      </c>
      <c r="B4" s="112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95">
        <v>2.7</v>
      </c>
      <c r="D4" s="95">
        <v>10.8</v>
      </c>
      <c r="E4" s="95">
        <v>26.599999999999994</v>
      </c>
      <c r="F4" s="95">
        <v>14.700000000000003</v>
      </c>
      <c r="G4" s="95">
        <v>4.9</v>
      </c>
    </row>
    <row r="5" ht="12.75" customHeight="1">
      <c r="A5" s="96"/>
      <c r="B5" s="112" t="str">
        <f>IF('0'!A1=1,"Алкогольні напої, тютюнові вироби","Alcoholic beverages, tobacco")</f>
        <v>Алкогольні напої, тютюнові вироби</v>
      </c>
      <c r="C5" s="95">
        <v>10.7</v>
      </c>
      <c r="D5" s="95">
        <v>9.8</v>
      </c>
      <c r="E5" s="95">
        <v>17.400000000000006</v>
      </c>
      <c r="F5" s="95">
        <v>14.599999999999994</v>
      </c>
      <c r="G5" s="95">
        <v>9.1</v>
      </c>
    </row>
    <row r="6" ht="12.75" customHeight="1">
      <c r="A6" s="96"/>
      <c r="B6" s="112" t="str">
        <f>IF('0'!A1=1,"Одяг і взуття","Clothing and footwear")</f>
        <v>Одяг і взуття</v>
      </c>
      <c r="C6" s="95">
        <v>-4.6</v>
      </c>
      <c r="D6" s="95">
        <v>-4.5</v>
      </c>
      <c r="E6" s="95">
        <v>-2.700000000000003</v>
      </c>
      <c r="F6" s="95">
        <v>-0.5</v>
      </c>
      <c r="G6" s="95">
        <v>-5.5</v>
      </c>
    </row>
    <row r="7" ht="12.75" customHeight="1">
      <c r="A7" s="96"/>
      <c r="B7" s="112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95">
        <v>-3.0</v>
      </c>
      <c r="D7" s="95">
        <v>23.2</v>
      </c>
      <c r="E7" s="95">
        <v>5.099999999999994</v>
      </c>
      <c r="F7" s="95">
        <v>10.0</v>
      </c>
      <c r="G7" s="95">
        <v>16.4</v>
      </c>
    </row>
    <row r="8" ht="47.25" customHeight="1">
      <c r="A8" s="96"/>
      <c r="B8" s="112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95">
        <v>-0.7</v>
      </c>
      <c r="D8" s="95">
        <v>2.9</v>
      </c>
      <c r="E8" s="95">
        <v>16.099999999999994</v>
      </c>
      <c r="F8" s="95">
        <v>12.700000000000003</v>
      </c>
      <c r="G8" s="95">
        <v>0.0</v>
      </c>
    </row>
    <row r="9" ht="12.75" customHeight="1">
      <c r="A9" s="96"/>
      <c r="B9" s="112" t="str">
        <f>IF('0'!A1=1,"Охорона здоров’я","Health")</f>
        <v>Охорона здоров’я</v>
      </c>
      <c r="C9" s="95">
        <v>5.3</v>
      </c>
      <c r="D9" s="95">
        <v>6.6</v>
      </c>
      <c r="E9" s="95">
        <v>14.5</v>
      </c>
      <c r="F9" s="95">
        <v>12.799999999999997</v>
      </c>
      <c r="G9" s="95">
        <v>10.7</v>
      </c>
    </row>
    <row r="10" ht="12.75" customHeight="1">
      <c r="A10" s="96"/>
      <c r="B10" s="112" t="str">
        <f>IF('0'!A1=1,"Транспорт","Transport")</f>
        <v>Транспорт</v>
      </c>
      <c r="C10" s="95">
        <v>-1.9</v>
      </c>
      <c r="D10" s="95">
        <v>10.0</v>
      </c>
      <c r="E10" s="95">
        <v>31.80000000000001</v>
      </c>
      <c r="F10" s="95">
        <v>12.099999999999994</v>
      </c>
      <c r="G10" s="95">
        <v>7.2</v>
      </c>
    </row>
    <row r="11" ht="12.75" customHeight="1">
      <c r="A11" s="96"/>
      <c r="B11" s="112" t="str">
        <f>IF('0'!A1=1,"Зв’язок","Communication")</f>
        <v>Зв’язок</v>
      </c>
      <c r="C11" s="95">
        <v>6.5</v>
      </c>
      <c r="D11" s="95">
        <v>5.2</v>
      </c>
      <c r="E11" s="95">
        <v>10.900000000000006</v>
      </c>
      <c r="F11" s="95">
        <v>7.799999999999997</v>
      </c>
      <c r="G11" s="95">
        <v>2.5</v>
      </c>
    </row>
    <row r="12" ht="12.75" customHeight="1">
      <c r="A12" s="96"/>
      <c r="B12" s="112" t="str">
        <f>IF('0'!A1=1,"Відпочинок і культура","Recreation and culture")</f>
        <v>Відпочинок і культура</v>
      </c>
      <c r="C12" s="95">
        <v>-1.8</v>
      </c>
      <c r="D12" s="95">
        <v>3.3</v>
      </c>
      <c r="E12" s="95">
        <v>10.900000000000006</v>
      </c>
      <c r="F12" s="95">
        <v>7.299999999999997</v>
      </c>
      <c r="G12" s="95">
        <v>-1.3</v>
      </c>
    </row>
    <row r="13" ht="12.75" customHeight="1">
      <c r="A13" s="96"/>
      <c r="B13" s="112" t="str">
        <f>IF('0'!A1=1,"Освіта","Education")</f>
        <v>Освіта</v>
      </c>
      <c r="C13" s="95">
        <v>13.6</v>
      </c>
      <c r="D13" s="95">
        <v>15.3</v>
      </c>
      <c r="E13" s="95">
        <v>14.099999999999994</v>
      </c>
      <c r="F13" s="95">
        <v>10.700000000000003</v>
      </c>
      <c r="G13" s="95">
        <v>11.9</v>
      </c>
    </row>
    <row r="14" ht="12.75" customHeight="1">
      <c r="A14" s="96"/>
      <c r="B14" s="112" t="str">
        <f>IF('0'!A1=1,"Ресторани та готелі","Restaurants and hotels")</f>
        <v>Ресторани та готелі</v>
      </c>
      <c r="C14" s="95">
        <v>5.9</v>
      </c>
      <c r="D14" s="95">
        <v>6.1</v>
      </c>
      <c r="E14" s="95">
        <v>16.099999999999994</v>
      </c>
      <c r="F14" s="95">
        <v>18.5</v>
      </c>
      <c r="G14" s="95">
        <v>11.6</v>
      </c>
    </row>
    <row r="15" ht="12.75" customHeight="1">
      <c r="A15" s="97"/>
      <c r="B15" s="113" t="str">
        <f>IF('0'!A1=1,"Різні товари та послуги","Miscellaneous goods and services")</f>
        <v>Різні товари та послуги</v>
      </c>
      <c r="C15" s="99">
        <v>6.4</v>
      </c>
      <c r="D15" s="99">
        <v>6.5</v>
      </c>
      <c r="E15" s="99">
        <v>14.0</v>
      </c>
      <c r="F15" s="99">
        <v>15.599999999999994</v>
      </c>
      <c r="G15" s="99">
        <v>9.1</v>
      </c>
    </row>
    <row r="16" ht="12.75" customHeight="1"/>
    <row r="17" ht="70.5" customHeight="1">
      <c r="A17" s="104" t="str">
        <f>'1'!A24:B24</f>
        <v>* Починаючи з  2014 року дані наведено без урахування тимчасово окупованої території Автономної Республіки Крим, м. Севастополя. Починаючи з 2015 року також без частини тимчасово окупованих територій у Донецькій та Луганській областях.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2:B2"/>
    <mergeCell ref="A3:B3"/>
    <mergeCell ref="A4:A15"/>
    <mergeCell ref="A17:B17"/>
  </mergeCells>
  <hyperlinks>
    <hyperlink display="до змісту" location="'0'!A1" ref="A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29"/>
    <col customWidth="1" min="2" max="2" width="48.29"/>
    <col customWidth="1" min="3" max="4" width="10.71"/>
    <col customWidth="1" min="5" max="5" width="10.43"/>
    <col customWidth="1" min="6" max="13" width="8.71"/>
  </cols>
  <sheetData>
    <row r="1" ht="12.75" customHeight="1">
      <c r="A1" s="87" t="s">
        <v>8</v>
      </c>
      <c r="B1" s="106"/>
    </row>
    <row r="2" ht="12.75" customHeight="1">
      <c r="A2" s="107"/>
      <c r="B2" s="108"/>
      <c r="C2" s="114">
        <v>44927.0</v>
      </c>
    </row>
    <row r="3" ht="36.0" customHeight="1">
      <c r="A3" s="109" t="str">
        <f>IF('0'!A1=1,"Індекс споживчих цін (вагова структура для розрахунку ІСЦ, %)","Consumer price indices (year to the previous year , %)")</f>
        <v>Індекс споживчих цін (вагова структура для розрахунку ІСЦ, %)</v>
      </c>
      <c r="B3" s="115"/>
      <c r="C3" s="92">
        <v>100.0</v>
      </c>
    </row>
    <row r="4" ht="31.5" customHeight="1">
      <c r="A4" s="93" t="str">
        <f>IF('0'!A1=1,"ТОВАРНІ ГРУПИ*","PRODUCTS GROUPS*")</f>
        <v>ТОВАРНІ ГРУПИ*</v>
      </c>
      <c r="B4" s="116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117">
        <v>39.976420812033915</v>
      </c>
    </row>
    <row r="5" ht="12.75" customHeight="1">
      <c r="A5" s="96"/>
      <c r="B5" s="116" t="str">
        <f>IF('0'!A1=1,"Алкогольні напої, тютюнові вироби","Alcoholic beverages, tobacco")</f>
        <v>Алкогольні напої, тютюнові вироби</v>
      </c>
      <c r="C5" s="117">
        <v>7.807457674771863</v>
      </c>
    </row>
    <row r="6" ht="12.75" customHeight="1">
      <c r="A6" s="96"/>
      <c r="B6" s="116" t="str">
        <f>IF('0'!A1=1,"Одяг і взуття","Clothing and footwear")</f>
        <v>Одяг і взуття</v>
      </c>
      <c r="C6" s="117">
        <v>3.7253229610071306</v>
      </c>
      <c r="E6" s="118"/>
    </row>
    <row r="7" ht="12.75" customHeight="1">
      <c r="A7" s="96"/>
      <c r="B7" s="116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117">
        <v>9.800722344485884</v>
      </c>
    </row>
    <row r="8" ht="32.25" customHeight="1">
      <c r="A8" s="96"/>
      <c r="B8" s="116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117">
        <v>4.5768551038398675</v>
      </c>
    </row>
    <row r="9" ht="12.75" customHeight="1">
      <c r="A9" s="96"/>
      <c r="B9" s="116" t="str">
        <f>IF('0'!A1=1,"Охорона здоров’я","Health")</f>
        <v>Охорона здоров’я</v>
      </c>
      <c r="C9" s="117">
        <v>9.395619789987078</v>
      </c>
    </row>
    <row r="10" ht="12.75" customHeight="1">
      <c r="A10" s="96"/>
      <c r="B10" s="116" t="str">
        <f>IF('0'!A1=1,"Транспорт","Transport")</f>
        <v>Транспорт</v>
      </c>
      <c r="C10" s="117">
        <v>9.628027408609494</v>
      </c>
    </row>
    <row r="11" ht="12.75" customHeight="1">
      <c r="A11" s="96"/>
      <c r="B11" s="116" t="str">
        <f>IF('0'!A1=1,"Зв’язок","Communication")</f>
        <v>Зв’язок</v>
      </c>
      <c r="C11" s="117">
        <v>2.9932161836664495</v>
      </c>
    </row>
    <row r="12" ht="12.75" customHeight="1">
      <c r="A12" s="96"/>
      <c r="B12" s="116" t="str">
        <f>IF('0'!A1=1,"Відпочинок і культура","Recreation and culture")</f>
        <v>Відпочинок і культура</v>
      </c>
      <c r="C12" s="117">
        <v>3.663690360941202</v>
      </c>
    </row>
    <row r="13" ht="12.75" customHeight="1">
      <c r="A13" s="96"/>
      <c r="B13" s="116" t="str">
        <f>IF('0'!A1=1,"Освіта","Education")</f>
        <v>Освіта</v>
      </c>
      <c r="C13" s="117">
        <v>1.3072684490224529</v>
      </c>
    </row>
    <row r="14" ht="12.75" customHeight="1">
      <c r="A14" s="96"/>
      <c r="B14" s="116" t="str">
        <f>IF('0'!A1=1,"Ресторани та готелі","Restaurants and hotels")</f>
        <v>Ресторани та готелі</v>
      </c>
      <c r="C14" s="117">
        <v>2.814468627086649</v>
      </c>
    </row>
    <row r="15" ht="12.75" customHeight="1">
      <c r="A15" s="97"/>
      <c r="B15" s="119" t="str">
        <f>IF('0'!A1=1,"Різні товари та послуги","Miscellaneous goods and services")</f>
        <v>Різні товари та послуги</v>
      </c>
      <c r="C15" s="120">
        <v>4.310930284548017</v>
      </c>
    </row>
    <row r="16" ht="12.75" customHeight="1"/>
    <row r="17" ht="41.25" customHeight="1">
      <c r="A17" s="104" t="str">
        <f>'1'!A24:B24</f>
        <v>* Починаючи з  2014 року дані наведено без урахування тимчасово окупованої території Автономної Республіки Крим, м. Севастополя. Починаючи з 2015 року також без частини тимчасово окупованих територій у Донецькій та Луганській областях.</v>
      </c>
    </row>
    <row r="18" ht="42.75" customHeight="1">
      <c r="A18" s="104" t="s">
        <v>9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2:B2"/>
    <mergeCell ref="A3:B3"/>
    <mergeCell ref="A4:A15"/>
    <mergeCell ref="A17:B17"/>
    <mergeCell ref="A18:B18"/>
  </mergeCells>
  <hyperlinks>
    <hyperlink display="до змісту" location="'0'!A1" ref="A1"/>
  </hyperlinks>
  <printOptions/>
  <pageMargins bottom="0.75" footer="0.0" header="0.0" left="0.7" right="0.7" top="0.75"/>
  <pageSetup orientation="landscape"/>
  <drawing r:id="rId1"/>
</worksheet>
</file>